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60" yWindow="30" windowWidth="3645" windowHeight="1965" activeTab="7"/>
  </bookViews>
  <sheets>
    <sheet name="Gen 1000" sheetId="1" r:id="rId1"/>
    <sheet name="Gen 1001" sheetId="7" r:id="rId2"/>
    <sheet name="Gen 1003" sheetId="10" r:id="rId3"/>
    <sheet name="Gen 1004" sheetId="11" r:id="rId4"/>
    <sheet name="Steel 1021" sheetId="2" r:id="rId5"/>
    <sheet name="Steel 1022" sheetId="9" r:id="rId6"/>
    <sheet name="SA Gen 1002" sheetId="8" r:id="rId7"/>
    <sheet name="Abs 1042" sheetId="3" r:id="rId8"/>
    <sheet name="Secured Advance-1042" sheetId="5" r:id="rId9"/>
    <sheet name="Steel cons" sheetId="12" r:id="rId10"/>
  </sheets>
  <definedNames>
    <definedName name="_xlnm.Print_Area" localSheetId="7">'Abs 1042'!$A$1:$M$122</definedName>
    <definedName name="_xlnm.Print_Area" localSheetId="0">'Gen 1000'!$A$1:$I$56</definedName>
    <definedName name="_xlnm.Print_Area" localSheetId="1">'Gen 1001'!$A$1:$I$72</definedName>
    <definedName name="_xlnm.Print_Area" localSheetId="2">'Gen 1003'!$A$1:$I$36</definedName>
    <definedName name="_xlnm.Print_Area" localSheetId="3">'Gen 1004'!$A$1:$I$36</definedName>
    <definedName name="_xlnm.Print_Area" localSheetId="6">'SA Gen 1002'!$A$1:$I$43</definedName>
    <definedName name="_xlnm.Print_Area" localSheetId="9">'Steel cons'!$A$1:$O$184</definedName>
    <definedName name="_xlnm.Print_Titles" localSheetId="7">'Abs 1042'!$1:$7</definedName>
    <definedName name="_xlnm.Print_Titles" localSheetId="0">'Gen 1000'!$1:$8</definedName>
    <definedName name="_xlnm.Print_Titles" localSheetId="1">'Gen 1001'!$1:$8</definedName>
    <definedName name="_xlnm.Print_Titles" localSheetId="2">'Gen 1003'!$1:$8</definedName>
    <definedName name="_xlnm.Print_Titles" localSheetId="3">'Gen 1004'!$1:$8</definedName>
    <definedName name="_xlnm.Print_Titles" localSheetId="6">'SA Gen 1002'!$1:$8</definedName>
    <definedName name="_xlnm.Print_Titles" localSheetId="4">'Steel 1021'!$1:$8</definedName>
    <definedName name="_xlnm.Print_Titles" localSheetId="5">'Steel 1022'!$1:$8</definedName>
    <definedName name="_xlnm.Print_Titles" localSheetId="9">'Steel cons'!$1:$6</definedName>
  </definedNames>
  <calcPr calcId="145621"/>
</workbook>
</file>

<file path=xl/calcChain.xml><?xml version="1.0" encoding="utf-8"?>
<calcChain xmlns="http://schemas.openxmlformats.org/spreadsheetml/2006/main">
  <c r="K24" i="3" l="1"/>
  <c r="F24" i="3"/>
  <c r="C22" i="3"/>
  <c r="J22" i="3" s="1"/>
  <c r="C20" i="3"/>
  <c r="J20" i="3" s="1"/>
  <c r="H40" i="8"/>
  <c r="H41" i="8" s="1"/>
  <c r="H39" i="8"/>
  <c r="H34" i="8"/>
  <c r="H35" i="8" s="1"/>
  <c r="H33" i="8"/>
  <c r="H28" i="8"/>
  <c r="H29" i="8" s="1"/>
  <c r="C17" i="3" s="1"/>
  <c r="J17" i="3" s="1"/>
  <c r="H27" i="8"/>
  <c r="H22" i="8"/>
  <c r="H21" i="8"/>
  <c r="H23" i="8" s="1"/>
  <c r="C14" i="3" s="1"/>
  <c r="J14" i="3" s="1"/>
  <c r="H15" i="8"/>
  <c r="H17" i="8" s="1"/>
  <c r="C11" i="3" s="1"/>
  <c r="J11" i="3" s="1"/>
  <c r="F20" i="3" l="1"/>
  <c r="K20" i="3" s="1"/>
  <c r="F22" i="3"/>
  <c r="K22" i="3" s="1"/>
  <c r="F17" i="3"/>
  <c r="K17" i="3" s="1"/>
  <c r="F14" i="3"/>
  <c r="K14" i="3" s="1"/>
  <c r="F11" i="3"/>
  <c r="K11" i="3" s="1"/>
  <c r="H10" i="8"/>
  <c r="H11" i="8" s="1"/>
  <c r="C9" i="3" s="1"/>
  <c r="J9" i="3" s="1"/>
  <c r="H63" i="7"/>
  <c r="H62" i="7"/>
  <c r="H61" i="7"/>
  <c r="H60" i="7"/>
  <c r="F9" i="3" l="1"/>
  <c r="K9" i="3" s="1"/>
  <c r="F13" i="9" l="1"/>
  <c r="E15" i="9"/>
  <c r="O22" i="9"/>
  <c r="N22" i="9"/>
  <c r="M22" i="9"/>
  <c r="L22" i="9"/>
  <c r="K22" i="9"/>
  <c r="J22" i="9"/>
  <c r="I22" i="9"/>
  <c r="H22" i="9"/>
  <c r="G22" i="9"/>
  <c r="E22" i="9"/>
  <c r="O21" i="9"/>
  <c r="N21" i="9"/>
  <c r="M21" i="9"/>
  <c r="L21" i="9"/>
  <c r="K21" i="9"/>
  <c r="J21" i="9"/>
  <c r="I21" i="9"/>
  <c r="G21" i="9"/>
  <c r="F21" i="9"/>
  <c r="E21" i="9"/>
  <c r="H21" i="9" s="1"/>
  <c r="O20" i="9"/>
  <c r="N20" i="9"/>
  <c r="M20" i="9"/>
  <c r="L20" i="9"/>
  <c r="K20" i="9"/>
  <c r="J20" i="9"/>
  <c r="I20" i="9"/>
  <c r="H20" i="9"/>
  <c r="G20" i="9"/>
  <c r="F20" i="9"/>
  <c r="E20" i="9"/>
  <c r="O19" i="9"/>
  <c r="N19" i="9"/>
  <c r="M19" i="9"/>
  <c r="L19" i="9"/>
  <c r="K19" i="9"/>
  <c r="J19" i="9"/>
  <c r="I19" i="9"/>
  <c r="H19" i="9"/>
  <c r="G19" i="9"/>
  <c r="F19" i="9"/>
  <c r="E19" i="9"/>
  <c r="N18" i="9"/>
  <c r="M18" i="9"/>
  <c r="L18" i="9"/>
  <c r="K18" i="9"/>
  <c r="J18" i="9"/>
  <c r="I18" i="9"/>
  <c r="H18" i="9"/>
  <c r="G18" i="9"/>
  <c r="F18" i="9"/>
  <c r="O18" i="9" s="1"/>
  <c r="E18" i="9"/>
  <c r="O16" i="9"/>
  <c r="N16" i="9"/>
  <c r="M16" i="9"/>
  <c r="L16" i="9"/>
  <c r="J16" i="9"/>
  <c r="I16" i="9"/>
  <c r="H16" i="9"/>
  <c r="G16" i="9"/>
  <c r="F16" i="9"/>
  <c r="E16" i="9"/>
  <c r="K16" i="9" s="1"/>
  <c r="O15" i="9"/>
  <c r="N15" i="9"/>
  <c r="M15" i="9"/>
  <c r="L15" i="9"/>
  <c r="J15" i="9"/>
  <c r="I15" i="9"/>
  <c r="H15" i="9"/>
  <c r="G15" i="9"/>
  <c r="F15" i="9"/>
  <c r="K15" i="9"/>
  <c r="O14" i="9"/>
  <c r="N14" i="9"/>
  <c r="M14" i="9"/>
  <c r="L14" i="9"/>
  <c r="K14" i="9"/>
  <c r="J14" i="9"/>
  <c r="I14" i="9"/>
  <c r="H14" i="9"/>
  <c r="G14" i="9"/>
  <c r="E14" i="9"/>
  <c r="O13" i="9"/>
  <c r="N13" i="9"/>
  <c r="M13" i="9"/>
  <c r="L13" i="9"/>
  <c r="J13" i="9"/>
  <c r="I13" i="9"/>
  <c r="H13" i="9"/>
  <c r="G13" i="9"/>
  <c r="E13" i="9"/>
  <c r="K13" i="9" s="1"/>
  <c r="O12" i="9"/>
  <c r="N12" i="9"/>
  <c r="N23" i="9" s="1"/>
  <c r="N26" i="9" s="1"/>
  <c r="M12" i="9"/>
  <c r="L12" i="9"/>
  <c r="J12" i="9"/>
  <c r="J23" i="9" s="1"/>
  <c r="J26" i="9" s="1"/>
  <c r="I12" i="9"/>
  <c r="H12" i="9"/>
  <c r="G12" i="9"/>
  <c r="F12" i="9"/>
  <c r="E12" i="9"/>
  <c r="K12" i="9" s="1"/>
  <c r="O11" i="9"/>
  <c r="O23" i="9" s="1"/>
  <c r="O26" i="9" s="1"/>
  <c r="N11" i="9"/>
  <c r="M11" i="9"/>
  <c r="M23" i="9" s="1"/>
  <c r="M26" i="9" s="1"/>
  <c r="L11" i="9"/>
  <c r="L23" i="9" s="1"/>
  <c r="L26" i="9" s="1"/>
  <c r="K11" i="9"/>
  <c r="K23" i="9" s="1"/>
  <c r="K26" i="9" s="1"/>
  <c r="J11" i="9"/>
  <c r="I11" i="9"/>
  <c r="I23" i="9" s="1"/>
  <c r="I26" i="9" s="1"/>
  <c r="H11" i="9"/>
  <c r="H23" i="9" s="1"/>
  <c r="H26" i="9" s="1"/>
  <c r="G11" i="9"/>
  <c r="G23" i="9" s="1"/>
  <c r="G26" i="9" s="1"/>
  <c r="F27" i="9" s="1"/>
  <c r="G28" i="9" s="1"/>
  <c r="F11" i="9"/>
  <c r="E11" i="9"/>
  <c r="F29" i="9" l="1"/>
  <c r="G30" i="9" s="1"/>
  <c r="G11" i="2" l="1"/>
  <c r="O56" i="2"/>
  <c r="N56" i="2"/>
  <c r="M56" i="2"/>
  <c r="L56" i="2"/>
  <c r="K56" i="2"/>
  <c r="J56" i="2"/>
  <c r="I56" i="2"/>
  <c r="H56" i="2"/>
  <c r="G56" i="2"/>
  <c r="O55" i="2"/>
  <c r="N55" i="2"/>
  <c r="M55" i="2"/>
  <c r="L55" i="2"/>
  <c r="K55" i="2"/>
  <c r="J55" i="2"/>
  <c r="I55" i="2"/>
  <c r="H55" i="2"/>
  <c r="G55" i="2"/>
  <c r="O54" i="2"/>
  <c r="N54" i="2"/>
  <c r="L54" i="2"/>
  <c r="K54" i="2"/>
  <c r="J54" i="2"/>
  <c r="I54" i="2"/>
  <c r="H54" i="2"/>
  <c r="G54" i="2"/>
  <c r="F54" i="2"/>
  <c r="E54" i="2"/>
  <c r="M54" i="2" s="1"/>
  <c r="O52" i="2"/>
  <c r="N52" i="2"/>
  <c r="M52" i="2"/>
  <c r="L52" i="2"/>
  <c r="K52" i="2"/>
  <c r="J52" i="2"/>
  <c r="I52" i="2"/>
  <c r="H52" i="2"/>
  <c r="G52" i="2"/>
  <c r="O51" i="2"/>
  <c r="N51" i="2"/>
  <c r="M51" i="2"/>
  <c r="K51" i="2"/>
  <c r="J51" i="2"/>
  <c r="I51" i="2"/>
  <c r="H51" i="2"/>
  <c r="G51" i="2"/>
  <c r="F51" i="2"/>
  <c r="E51" i="2"/>
  <c r="L51" i="2" s="1"/>
  <c r="O49" i="2"/>
  <c r="N49" i="2"/>
  <c r="M49" i="2"/>
  <c r="L49" i="2"/>
  <c r="K49" i="2"/>
  <c r="J49" i="2"/>
  <c r="I49" i="2"/>
  <c r="G49" i="2"/>
  <c r="F49" i="2"/>
  <c r="H49" i="2" s="1"/>
  <c r="O48" i="2"/>
  <c r="N48" i="2"/>
  <c r="M48" i="2"/>
  <c r="L48" i="2"/>
  <c r="K48" i="2"/>
  <c r="J48" i="2"/>
  <c r="I48" i="2"/>
  <c r="H48" i="2"/>
  <c r="G48" i="2"/>
  <c r="F48" i="2"/>
  <c r="O47" i="2"/>
  <c r="N47" i="2"/>
  <c r="M47" i="2"/>
  <c r="L47" i="2"/>
  <c r="K47" i="2"/>
  <c r="J47" i="2"/>
  <c r="I47" i="2"/>
  <c r="G47" i="2"/>
  <c r="F47" i="2"/>
  <c r="H47" i="2" s="1"/>
  <c r="O46" i="2"/>
  <c r="N46" i="2"/>
  <c r="M46" i="2"/>
  <c r="L46" i="2"/>
  <c r="K46" i="2"/>
  <c r="J46" i="2"/>
  <c r="I46" i="2"/>
  <c r="H46" i="2"/>
  <c r="G46" i="2"/>
  <c r="F46" i="2"/>
  <c r="O45" i="2"/>
  <c r="N45" i="2"/>
  <c r="M45" i="2"/>
  <c r="L45" i="2"/>
  <c r="K45" i="2"/>
  <c r="J45" i="2"/>
  <c r="I45" i="2"/>
  <c r="G45" i="2"/>
  <c r="F45" i="2"/>
  <c r="E45" i="2"/>
  <c r="H45" i="2" s="1"/>
  <c r="N44" i="2"/>
  <c r="M44" i="2"/>
  <c r="L44" i="2"/>
  <c r="K44" i="2"/>
  <c r="J44" i="2"/>
  <c r="I44" i="2"/>
  <c r="H44" i="2"/>
  <c r="G44" i="2"/>
  <c r="F44" i="2"/>
  <c r="O44" i="2" s="1"/>
  <c r="O42" i="2"/>
  <c r="N42" i="2"/>
  <c r="M42" i="2"/>
  <c r="L42" i="2"/>
  <c r="K42" i="2"/>
  <c r="J42" i="2"/>
  <c r="I42" i="2"/>
  <c r="G42" i="2"/>
  <c r="F42" i="2"/>
  <c r="E42" i="2"/>
  <c r="H42" i="2" s="1"/>
  <c r="O41" i="2"/>
  <c r="N41" i="2"/>
  <c r="M41" i="2"/>
  <c r="L41" i="2"/>
  <c r="K41" i="2"/>
  <c r="J41" i="2"/>
  <c r="I41" i="2"/>
  <c r="G41" i="2"/>
  <c r="F41" i="2"/>
  <c r="E41" i="2"/>
  <c r="H41" i="2" s="1"/>
  <c r="O40" i="2"/>
  <c r="N40" i="2"/>
  <c r="M40" i="2"/>
  <c r="L40" i="2"/>
  <c r="K40" i="2"/>
  <c r="J40" i="2"/>
  <c r="I40" i="2"/>
  <c r="H40" i="2"/>
  <c r="G40" i="2"/>
  <c r="F40" i="2"/>
  <c r="E40" i="2"/>
  <c r="O39" i="2"/>
  <c r="N39" i="2"/>
  <c r="M39" i="2"/>
  <c r="L39" i="2"/>
  <c r="K39" i="2"/>
  <c r="J39" i="2"/>
  <c r="I39" i="2"/>
  <c r="H39" i="2"/>
  <c r="G39" i="2"/>
  <c r="F39" i="2"/>
  <c r="O37" i="2"/>
  <c r="N37" i="2"/>
  <c r="M37" i="2"/>
  <c r="L37" i="2"/>
  <c r="K37" i="2"/>
  <c r="J37" i="2"/>
  <c r="I37" i="2"/>
  <c r="G37" i="2"/>
  <c r="F37" i="2"/>
  <c r="E37" i="2"/>
  <c r="H37" i="2" s="1"/>
  <c r="O36" i="2"/>
  <c r="N36" i="2"/>
  <c r="M36" i="2"/>
  <c r="L36" i="2"/>
  <c r="K36" i="2"/>
  <c r="J36" i="2"/>
  <c r="I36" i="2"/>
  <c r="H36" i="2"/>
  <c r="G36" i="2"/>
  <c r="F36" i="2"/>
  <c r="E36" i="2"/>
  <c r="O35" i="2"/>
  <c r="N35" i="2"/>
  <c r="M35" i="2"/>
  <c r="L35" i="2"/>
  <c r="K35" i="2"/>
  <c r="J35" i="2"/>
  <c r="I35" i="2"/>
  <c r="H35" i="2"/>
  <c r="G35" i="2"/>
  <c r="F35" i="2"/>
  <c r="E35" i="2"/>
  <c r="N34" i="2"/>
  <c r="M34" i="2"/>
  <c r="L34" i="2"/>
  <c r="K34" i="2"/>
  <c r="J34" i="2"/>
  <c r="I34" i="2"/>
  <c r="H34" i="2"/>
  <c r="G34" i="2"/>
  <c r="F34" i="2"/>
  <c r="O34" i="2" s="1"/>
  <c r="E34" i="2"/>
  <c r="O32" i="2"/>
  <c r="N32" i="2"/>
  <c r="M32" i="2"/>
  <c r="L32" i="2"/>
  <c r="K32" i="2"/>
  <c r="J32" i="2"/>
  <c r="I32" i="2"/>
  <c r="G32" i="2"/>
  <c r="F32" i="2"/>
  <c r="H32" i="2" s="1"/>
  <c r="O31" i="2"/>
  <c r="N31" i="2"/>
  <c r="M31" i="2"/>
  <c r="L31" i="2"/>
  <c r="K31" i="2"/>
  <c r="J31" i="2"/>
  <c r="I31" i="2"/>
  <c r="H31" i="2"/>
  <c r="G31" i="2"/>
  <c r="F31" i="2"/>
  <c r="E31" i="2"/>
  <c r="O30" i="2"/>
  <c r="N30" i="2"/>
  <c r="M30" i="2"/>
  <c r="L30" i="2"/>
  <c r="K30" i="2"/>
  <c r="J30" i="2"/>
  <c r="I30" i="2"/>
  <c r="G30" i="2"/>
  <c r="F30" i="2"/>
  <c r="H30" i="2" s="1"/>
  <c r="O29" i="2"/>
  <c r="N29" i="2"/>
  <c r="M29" i="2"/>
  <c r="L29" i="2"/>
  <c r="K29" i="2"/>
  <c r="J29" i="2"/>
  <c r="I29" i="2"/>
  <c r="H29" i="2"/>
  <c r="G29" i="2"/>
  <c r="F29" i="2"/>
  <c r="E29" i="2"/>
  <c r="O28" i="2"/>
  <c r="N28" i="2"/>
  <c r="M28" i="2"/>
  <c r="L28" i="2"/>
  <c r="K28" i="2"/>
  <c r="J28" i="2"/>
  <c r="I28" i="2"/>
  <c r="H28" i="2"/>
  <c r="G28" i="2"/>
  <c r="F28" i="2"/>
  <c r="E28" i="2"/>
  <c r="N27" i="2"/>
  <c r="M27" i="2"/>
  <c r="L27" i="2"/>
  <c r="K27" i="2"/>
  <c r="J27" i="2"/>
  <c r="I27" i="2"/>
  <c r="H27" i="2"/>
  <c r="G27" i="2"/>
  <c r="F27" i="2"/>
  <c r="O27" i="2" s="1"/>
  <c r="E27" i="2"/>
  <c r="O25" i="2"/>
  <c r="N25" i="2"/>
  <c r="M25" i="2"/>
  <c r="L25" i="2"/>
  <c r="K25" i="2"/>
  <c r="J25" i="2"/>
  <c r="I25" i="2"/>
  <c r="G25" i="2"/>
  <c r="F25" i="2"/>
  <c r="E25" i="2"/>
  <c r="H25" i="2" s="1"/>
  <c r="O24" i="2"/>
  <c r="N24" i="2"/>
  <c r="M24" i="2"/>
  <c r="L24" i="2"/>
  <c r="K24" i="2"/>
  <c r="J24" i="2"/>
  <c r="I24" i="2"/>
  <c r="H24" i="2"/>
  <c r="G24" i="2"/>
  <c r="F24" i="2"/>
  <c r="E24" i="2"/>
  <c r="O23" i="2"/>
  <c r="N23" i="2"/>
  <c r="M23" i="2"/>
  <c r="L23" i="2"/>
  <c r="K23" i="2"/>
  <c r="J23" i="2"/>
  <c r="I23" i="2"/>
  <c r="H23" i="2"/>
  <c r="G23" i="2"/>
  <c r="F23" i="2"/>
  <c r="E23" i="2"/>
  <c r="N22" i="2"/>
  <c r="M22" i="2"/>
  <c r="L22" i="2"/>
  <c r="K22" i="2"/>
  <c r="J22" i="2"/>
  <c r="I22" i="2"/>
  <c r="H22" i="2"/>
  <c r="G22" i="2"/>
  <c r="F22" i="2"/>
  <c r="O22" i="2" s="1"/>
  <c r="E22" i="2"/>
  <c r="O20" i="2"/>
  <c r="N20" i="2"/>
  <c r="M20" i="2"/>
  <c r="L20" i="2"/>
  <c r="K20" i="2"/>
  <c r="J20" i="2"/>
  <c r="I20" i="2"/>
  <c r="H20" i="2"/>
  <c r="G20" i="2"/>
  <c r="O19" i="2"/>
  <c r="N19" i="2"/>
  <c r="M19" i="2"/>
  <c r="L19" i="2"/>
  <c r="J19" i="2"/>
  <c r="I19" i="2"/>
  <c r="H19" i="2"/>
  <c r="G19" i="2"/>
  <c r="F19" i="2"/>
  <c r="K19" i="2" s="1"/>
  <c r="O18" i="2"/>
  <c r="N18" i="2"/>
  <c r="M18" i="2"/>
  <c r="L18" i="2"/>
  <c r="J18" i="2"/>
  <c r="I18" i="2"/>
  <c r="H18" i="2"/>
  <c r="G18" i="2"/>
  <c r="E18" i="2"/>
  <c r="K18" i="2" s="1"/>
  <c r="O17" i="2"/>
  <c r="N17" i="2"/>
  <c r="M17" i="2"/>
  <c r="L17" i="2"/>
  <c r="J17" i="2"/>
  <c r="I17" i="2"/>
  <c r="H17" i="2"/>
  <c r="G17" i="2"/>
  <c r="F17" i="2"/>
  <c r="K17" i="2" s="1"/>
  <c r="E17" i="2"/>
  <c r="O16" i="2"/>
  <c r="N16" i="2"/>
  <c r="M16" i="2"/>
  <c r="L16" i="2"/>
  <c r="K16" i="2"/>
  <c r="J16" i="2"/>
  <c r="I16" i="2"/>
  <c r="H16" i="2"/>
  <c r="G16" i="2"/>
  <c r="O15" i="2"/>
  <c r="N15" i="2"/>
  <c r="M15" i="2"/>
  <c r="L15" i="2"/>
  <c r="J15" i="2"/>
  <c r="I15" i="2"/>
  <c r="H15" i="2"/>
  <c r="G15" i="2"/>
  <c r="F15" i="2"/>
  <c r="K15" i="2" s="1"/>
  <c r="O14" i="2"/>
  <c r="N14" i="2"/>
  <c r="M14" i="2"/>
  <c r="L14" i="2"/>
  <c r="K14" i="2"/>
  <c r="J14" i="2"/>
  <c r="I14" i="2"/>
  <c r="H14" i="2"/>
  <c r="G14" i="2"/>
  <c r="O13" i="2"/>
  <c r="N13" i="2"/>
  <c r="M13" i="2"/>
  <c r="L13" i="2"/>
  <c r="J13" i="2"/>
  <c r="I13" i="2"/>
  <c r="H13" i="2"/>
  <c r="G13" i="2"/>
  <c r="F13" i="2"/>
  <c r="K13" i="2" s="1"/>
  <c r="O12" i="2"/>
  <c r="N12" i="2"/>
  <c r="M12" i="2"/>
  <c r="L12" i="2"/>
  <c r="K12" i="2"/>
  <c r="J12" i="2"/>
  <c r="I12" i="2"/>
  <c r="H12" i="2"/>
  <c r="G12" i="2"/>
  <c r="E12" i="2"/>
  <c r="O11" i="2"/>
  <c r="N11" i="2"/>
  <c r="N57" i="2" s="1"/>
  <c r="N60" i="2" s="1"/>
  <c r="M11" i="2"/>
  <c r="M57" i="2" s="1"/>
  <c r="M60" i="2" s="1"/>
  <c r="L11" i="2"/>
  <c r="J11" i="2"/>
  <c r="J57" i="2" s="1"/>
  <c r="J60" i="2" s="1"/>
  <c r="I11" i="2"/>
  <c r="I57" i="2" s="1"/>
  <c r="I60" i="2" s="1"/>
  <c r="H11" i="2"/>
  <c r="G57" i="2"/>
  <c r="G60" i="2" s="1"/>
  <c r="F11" i="2"/>
  <c r="E11" i="2"/>
  <c r="K11" i="2" s="1"/>
  <c r="K57" i="2" s="1"/>
  <c r="K60" i="2" s="1"/>
  <c r="O57" i="2" l="1"/>
  <c r="O60" i="2" s="1"/>
  <c r="F61" i="2"/>
  <c r="G62" i="2" s="1"/>
  <c r="L57" i="2"/>
  <c r="L60" i="2" s="1"/>
  <c r="F63" i="2" s="1"/>
  <c r="G64" i="2" s="1"/>
  <c r="H57" i="2"/>
  <c r="H60" i="2" s="1"/>
  <c r="H45" i="7" l="1"/>
  <c r="H44" i="7"/>
  <c r="H46" i="7" s="1"/>
  <c r="H12" i="7" l="1"/>
  <c r="H13" i="7"/>
  <c r="H14" i="7"/>
  <c r="H11" i="7"/>
  <c r="H10" i="7"/>
  <c r="H15" i="7" l="1"/>
  <c r="H39" i="7" l="1"/>
  <c r="H38" i="7"/>
  <c r="H37" i="7"/>
  <c r="H36" i="7"/>
  <c r="H35" i="7"/>
  <c r="H34" i="7"/>
  <c r="H33" i="7"/>
  <c r="H40" i="7" l="1"/>
  <c r="H27" i="7" l="1"/>
  <c r="H26" i="7"/>
  <c r="H25" i="7"/>
  <c r="H24" i="7"/>
  <c r="H23" i="7"/>
  <c r="H22" i="7"/>
  <c r="H21" i="7"/>
  <c r="H20" i="7"/>
  <c r="H19" i="7"/>
  <c r="H28" i="7" l="1"/>
  <c r="H17" i="10"/>
  <c r="H12" i="10"/>
  <c r="H11" i="10" l="1"/>
  <c r="H10" i="10"/>
  <c r="H16" i="10"/>
  <c r="H50" i="7" l="1"/>
  <c r="H51" i="7" s="1"/>
  <c r="H55" i="7"/>
  <c r="H56" i="7" s="1"/>
  <c r="O87" i="12" l="1"/>
  <c r="A15" i="5" l="1"/>
  <c r="F35" i="3" l="1"/>
  <c r="F32" i="3" l="1"/>
  <c r="F36" i="3" l="1"/>
  <c r="L16" i="5" l="1"/>
  <c r="K17" i="5" s="1"/>
  <c r="K19" i="5" s="1"/>
  <c r="F26" i="3" s="1"/>
  <c r="K26" i="3" l="1"/>
  <c r="K27" i="3" l="1"/>
  <c r="F34" i="3" l="1"/>
  <c r="F37" i="3" s="1"/>
  <c r="F27" i="3"/>
</calcChain>
</file>

<file path=xl/sharedStrings.xml><?xml version="1.0" encoding="utf-8"?>
<sst xmlns="http://schemas.openxmlformats.org/spreadsheetml/2006/main" count="482" uniqueCount="222">
  <si>
    <t>L</t>
  </si>
  <si>
    <t>B</t>
  </si>
  <si>
    <t>D</t>
  </si>
  <si>
    <t>Date of Measur
-ement</t>
  </si>
  <si>
    <t>Description of Work</t>
  </si>
  <si>
    <t>Dia of rod [mm]</t>
  </si>
  <si>
    <t>Nos.</t>
  </si>
  <si>
    <t>Length in Metres</t>
  </si>
  <si>
    <t>TOTAL LENGTH</t>
  </si>
  <si>
    <t>Remarks</t>
  </si>
  <si>
    <t>NAME OF WORK</t>
  </si>
  <si>
    <t>NAME OF CONTRACTOR</t>
  </si>
  <si>
    <t>WORK ORDER NO</t>
  </si>
  <si>
    <t>AGGREEMENT NO</t>
  </si>
  <si>
    <t>RA BILL NO</t>
  </si>
  <si>
    <t>Item No</t>
  </si>
  <si>
    <t>Cum</t>
  </si>
  <si>
    <t>TOTAL</t>
  </si>
  <si>
    <t>No.</t>
  </si>
  <si>
    <t>Name of work:</t>
  </si>
  <si>
    <t>Name of the contractor</t>
  </si>
  <si>
    <t>Agreement No.</t>
  </si>
  <si>
    <t>Running Account bill No.</t>
  </si>
  <si>
    <t>Description of work</t>
  </si>
  <si>
    <t>Rate</t>
  </si>
  <si>
    <t>Per</t>
  </si>
  <si>
    <t>Total value to Date</t>
  </si>
  <si>
    <t>Deduct previous Measurements</t>
  </si>
  <si>
    <t>Since Last Measurement</t>
  </si>
  <si>
    <t>Contents or Area</t>
  </si>
  <si>
    <t>Page</t>
  </si>
  <si>
    <t>Quantity</t>
  </si>
  <si>
    <t>Amount</t>
  </si>
  <si>
    <t>Value</t>
  </si>
  <si>
    <t>Rs.  P.</t>
  </si>
  <si>
    <t>TOTAL COST (Rs.)</t>
  </si>
  <si>
    <t>Gross Amount (Rs.)</t>
  </si>
  <si>
    <t>Less Overall Rebate  = 0.0%</t>
  </si>
  <si>
    <t xml:space="preserve">FORM 26 A </t>
  </si>
  <si>
    <t xml:space="preserve">ACCOUNT OF SECURED ADVANCES </t>
  </si>
  <si>
    <t xml:space="preserve">(Referred to in paragraphs 10.2.14) </t>
  </si>
  <si>
    <t xml:space="preserve">(To be annexed to Form 26 where necessary) </t>
  </si>
  <si>
    <t xml:space="preserve">Cash Book Voucher No. …………………. Dated:- </t>
  </si>
  <si>
    <t>Name of Building:-</t>
  </si>
  <si>
    <t>Civil Secured Advance -1</t>
  </si>
  <si>
    <t xml:space="preserve">Account of Secured Advance allowed on the Security of Materials Brought to Site </t>
  </si>
  <si>
    <t>Sl NO</t>
  </si>
  <si>
    <t>Quantity  Outstanding from previous bill</t>
  </si>
  <si>
    <t xml:space="preserve"> Deduct Quantity utilized in work measrued since previous bill</t>
  </si>
  <si>
    <t>ADD</t>
  </si>
  <si>
    <t>outstanding  including quantity brought to site since previous bill</t>
  </si>
  <si>
    <t>Full rate assesssedd by the Divisional officer</t>
  </si>
  <si>
    <t>Description of Item</t>
  </si>
  <si>
    <t>Unit</t>
  </si>
  <si>
    <t>Reduced rate at which rate is made</t>
  </si>
  <si>
    <t>Uptodate amount of advance</t>
  </si>
  <si>
    <t>Reference to Divisional officers written orders authorising the advance</t>
  </si>
  <si>
    <t>Reason for non clearance of adcance when outstanding more than three months</t>
  </si>
  <si>
    <t>Total amount</t>
  </si>
  <si>
    <t xml:space="preserve">Total amount outstanding as per this account …………………. (C) ………………. </t>
  </si>
  <si>
    <t xml:space="preserve">Deduct – Amount outstanding as per entry (C) of Annexure to the previous bill …………………… </t>
  </si>
  <si>
    <t xml:space="preserve">Net amount since previous bill (in words) Rupees…………………………………………..(E) </t>
  </si>
  <si>
    <t>Dated signature of Contractor</t>
  </si>
  <si>
    <t>Dated signature of Officer preparing the bill (Rank)</t>
  </si>
  <si>
    <t xml:space="preserve">Certified (1) that the plus quantities of materials shown in column 3 of the Account above have actually been brought by the Contractor to the site of the work and the contractor had not previously received any advance on their security (2) that these materials are of an imperishable nature and all are required by the Contractor for use on the work in connection with the items for which rates for finished work have been agreed upon, and (3) that a formal agreement in Form 31 signed and executed by the Contractor in accordance with Paragraphs 10.2.24 (a) of the Central Public Works Account Code in the Divisional Office. </t>
  </si>
  <si>
    <t xml:space="preserve">                     </t>
  </si>
  <si>
    <t>`</t>
  </si>
  <si>
    <t xml:space="preserve"> Dated signature of Officer authorizing payment (Rank)</t>
  </si>
  <si>
    <t>Division :  FRFCF</t>
  </si>
  <si>
    <t>Abstract of recoveries</t>
  </si>
  <si>
    <t>Total Abstract of Recovery:-</t>
  </si>
  <si>
    <t>Memo of Payment</t>
  </si>
  <si>
    <t>Uptodate value of bill:</t>
  </si>
  <si>
    <t>Deduct Previous Bill Value:</t>
  </si>
  <si>
    <t>Deduct Abstract of Recoveries:</t>
  </si>
  <si>
    <t>Balance amount to be paid in this bill:-</t>
  </si>
  <si>
    <t>Water Bill no: 01</t>
  </si>
  <si>
    <t xml:space="preserve">Secured Advance </t>
  </si>
  <si>
    <t>Name of Work</t>
  </si>
  <si>
    <t>TS No</t>
  </si>
  <si>
    <t>W.O NO</t>
  </si>
  <si>
    <t>RA-Bill No</t>
  </si>
  <si>
    <t>Date of Measurement</t>
  </si>
  <si>
    <t>Measurement Up todate</t>
  </si>
  <si>
    <t>Content Area</t>
  </si>
  <si>
    <t>Construction of various buildings of Waste Management Plant and allied structures including Civil, Electrical and Mechanical works for FRFCF at Kalpakkam</t>
  </si>
  <si>
    <t>7.1.1</t>
  </si>
  <si>
    <t>5.8.1</t>
  </si>
  <si>
    <t>C-0225/CV-1 (E)/FRFCF/IGCAR/2015 dt 12.01.2015</t>
  </si>
  <si>
    <t>M/s. Larsen &amp; toubro Limited, Chennai - 600 089</t>
  </si>
  <si>
    <t>IGCAR/FRFCF/CV-1(E)/ETR-025/WO/2016/213 dt. 24.02.2016</t>
  </si>
  <si>
    <t>IGCAR/FRFCF/CIVIL/A.41/2016 dt. 29.02.2016</t>
  </si>
  <si>
    <t>Agt No.</t>
  </si>
  <si>
    <t>Contractor</t>
  </si>
  <si>
    <t>TS. No</t>
  </si>
  <si>
    <t>M/s. Larsen &amp; Toubro Limited, Chennai - 600 089</t>
  </si>
  <si>
    <t>No</t>
  </si>
  <si>
    <t>Abstract  for Month of APR - MAY 2016</t>
  </si>
  <si>
    <t>TS NO</t>
  </si>
  <si>
    <t>WO.NO</t>
  </si>
  <si>
    <t>Rs.         P.</t>
  </si>
  <si>
    <t>AGT NO</t>
  </si>
  <si>
    <t>CV-1 (E)</t>
  </si>
  <si>
    <t>S.No. of the Bill to which the Account pertains to: RAB - 02</t>
  </si>
  <si>
    <t>Reference to Agreement :  IGCAR/FRFCF/CIVIL/A.41/2016 dt. 29.02.2016</t>
  </si>
  <si>
    <t>Three Crores Seventy One Lakhs Sixty Three Thousands Six Hundred and Fifty Six Only/-</t>
  </si>
  <si>
    <t>Formwork for normal concrete straight portion below from FFL</t>
  </si>
  <si>
    <t>Nil</t>
  </si>
  <si>
    <r>
      <t>Name of Contractor :-</t>
    </r>
    <r>
      <rPr>
        <sz val="11"/>
        <color indexed="8"/>
        <rFont val="QIJZMU+Times-Roman"/>
      </rPr>
      <t xml:space="preserve"> </t>
    </r>
    <r>
      <rPr>
        <b/>
        <sz val="11"/>
        <color indexed="8"/>
        <rFont val="QIJZMU+Times-Roman"/>
      </rPr>
      <t>M/s.Lasern &amp; Toubro ltd</t>
    </r>
  </si>
  <si>
    <r>
      <rPr>
        <u/>
        <sz val="11"/>
        <color indexed="8"/>
        <rFont val="QIJZMU+Times-Roman"/>
      </rPr>
      <t>Name of work:</t>
    </r>
    <r>
      <rPr>
        <sz val="11"/>
        <color indexed="8"/>
        <rFont val="QIJZMU+Times-Roman"/>
      </rPr>
      <t xml:space="preserve"> Construction of various buildings of waste management plant  and allied structture including civil, Electrical………</t>
    </r>
  </si>
  <si>
    <t>C/O to p-3 1042</t>
  </si>
  <si>
    <t>RA BILL No. 03   (Zone-II)                                                                           CC No.7732</t>
  </si>
  <si>
    <t>RA BILL No. 03   (SWB)                                                                               CC No.7732</t>
  </si>
  <si>
    <t>RA BILL No. 03   (Zone-V)                                                                               CC No.7732</t>
  </si>
  <si>
    <t>RA BILL No. 03   (Zone-III)                                                                               CC No.7605</t>
  </si>
  <si>
    <t>RA BILL NO. 03               ( SWB )                                                                                                                                                                                                                 CC NO.   7605</t>
  </si>
  <si>
    <t>RA BILL No. 03   (SUB ABSTRACT)                                                                 CC No.7732</t>
  </si>
  <si>
    <t>RA Bill NO : 03                                                         CC NO 7732</t>
  </si>
  <si>
    <t>RA BILL NO. 03                                                                                                                                                                                                                                                                              CC NO.   7732</t>
  </si>
  <si>
    <t xml:space="preserve">F - 16,17,23,24  EL(-24.75  to -23.25) </t>
  </si>
  <si>
    <r>
      <t>Supplying and placing insitu Normal concrete of N30 grade  29</t>
    </r>
    <r>
      <rPr>
        <vertAlign val="superscript"/>
        <sz val="11"/>
        <color theme="1"/>
        <rFont val="Verdana"/>
        <family val="2"/>
      </rPr>
      <t>o</t>
    </r>
    <r>
      <rPr>
        <sz val="11"/>
        <color theme="1"/>
        <rFont val="Verdana"/>
        <family val="2"/>
      </rPr>
      <t xml:space="preserve"> c</t>
    </r>
  </si>
  <si>
    <t>13.06.16</t>
  </si>
  <si>
    <t xml:space="preserve">F - 509 (Grid G to K &amp; 37a to 40) EL(-24.75  to -23.25) </t>
  </si>
  <si>
    <t>-</t>
  </si>
  <si>
    <t>Sqm</t>
  </si>
  <si>
    <t>5.7.1</t>
  </si>
  <si>
    <t xml:space="preserve">Supplying and placing insitu normal concrete N30 grade 330kg  38oC </t>
  </si>
  <si>
    <t>F - 29 (Grid E &amp; 1)
AFL -25.544  to TOC -24.75</t>
  </si>
  <si>
    <t>F - 30 (Grid E &amp; 2) 
AFL -25.381  to TOC -24.75</t>
  </si>
  <si>
    <t>F - 32 (Grid E &amp; 4) 
AFL -24.991  to TOC -24.75</t>
  </si>
  <si>
    <t>F - 39 (Grid F-G &amp; 1) 
AFL -25.103  to TOC -24.75</t>
  </si>
  <si>
    <t>F - 36 (Grid F-G &amp; 1) 
AFL -25.316  to TOC -24.75</t>
  </si>
  <si>
    <t>F - 43 (Grid G &amp; 2) 
AFL -25.475  to TOC -24.75</t>
  </si>
  <si>
    <t>F - 45 (Grid G &amp; 4) 
AFL -25.254  to TOC -24.75</t>
  </si>
  <si>
    <t>F - 48 (Grid H &amp; 1-2) 
AFL -25.080  to TOC -24.75</t>
  </si>
  <si>
    <t>F - 49 (Grid H &amp; 3) 
AFL -25.082  to TOC -24.75</t>
  </si>
  <si>
    <t>08.06.16</t>
  </si>
  <si>
    <t>07.06.16</t>
  </si>
  <si>
    <t xml:space="preserve">Supplying and placing insitu normal concrete N30 grade 320kg  38oC </t>
  </si>
  <si>
    <t>F - 31 (Grid E &amp; 3)
AFL -25.529  to TOC -24.75</t>
  </si>
  <si>
    <t>F - 37 (Grid F &amp; 2) 
AFL -26.102  to TOC -24.75</t>
  </si>
  <si>
    <t>F - 38 (Grid F &amp; 3) 
AFL -25.714  to TOC -24.75</t>
  </si>
  <si>
    <t>F - 44 (Grid G &amp; 3) 
AFL -25.257  to TOC -24.75</t>
  </si>
  <si>
    <t>11.06.16</t>
  </si>
  <si>
    <t>F - 50 (Grid H &amp; 4) 
AFL -25.159  to TOC -24.75</t>
  </si>
  <si>
    <t>F - 53 (Grid J &amp; 3) 
AFL -25.039  to TOC -24.75</t>
  </si>
  <si>
    <t>F - 54 (Grid J &amp; 4) 
AFL -25.313  to TOC -24.75</t>
  </si>
  <si>
    <t>F - 2 (Grid Aa &amp; 4)
AFL -25.151  to TOC -24.75</t>
  </si>
  <si>
    <t>F - 5 (Grid A &amp; 4)
AFL -25.206 TOC -24.75</t>
  </si>
  <si>
    <t>F - 11 (Grid B &amp; 4)
AFL -25.264  to TOC -24.75</t>
  </si>
  <si>
    <t>F - 17 (Grid C &amp; 4)
AFL -25.044  to TOC -24.75</t>
  </si>
  <si>
    <t>F - 24 (Grid D &amp; 4)
AFL -24.993  to TOC -24.75</t>
  </si>
  <si>
    <t>01.06.16</t>
  </si>
  <si>
    <t>F - 18 (Grid C &amp; 5)
AFL -25.096  to TOC -24.75</t>
  </si>
  <si>
    <t>F - 25 (Grid D &amp; 5) 
AFL -25.095  to TOC -24.75</t>
  </si>
  <si>
    <t>25.04.2016</t>
  </si>
  <si>
    <t xml:space="preserve">Reinforcement </t>
  </si>
  <si>
    <t>Footing  ( F - 509 )</t>
  </si>
  <si>
    <t>Bottom  N/S direction @150C/C</t>
  </si>
  <si>
    <t xml:space="preserve">Bottom  N/S direction laps </t>
  </si>
  <si>
    <t>Bottom  E/W direction @150C/C</t>
  </si>
  <si>
    <t>Bottom  E/W direction laps</t>
  </si>
  <si>
    <t>Top  E/W direction @150C/C</t>
  </si>
  <si>
    <t>Top  E/W direction laps</t>
  </si>
  <si>
    <t>Top  N/S direction @150C/C</t>
  </si>
  <si>
    <t xml:space="preserve">Top  N/S direction laps </t>
  </si>
  <si>
    <t>Face Bars @ 250C/C</t>
  </si>
  <si>
    <t>Lap</t>
  </si>
  <si>
    <t>Column C5035,5036,5040,5041 (4nos)</t>
  </si>
  <si>
    <t>Verticals upto EL-23.25</t>
  </si>
  <si>
    <t>Master ring @ 150C/C</t>
  </si>
  <si>
    <t>Internal ring @ 150C/C</t>
  </si>
  <si>
    <t>Column C5037,5042 (2nos)</t>
  </si>
  <si>
    <t>Master ring @ 125C/C</t>
  </si>
  <si>
    <t>Internal ring @ 125C/C</t>
  </si>
  <si>
    <t>Internal links @ 125C/C</t>
  </si>
  <si>
    <t>Column C5047</t>
  </si>
  <si>
    <t>Master ring @ 100C/C</t>
  </si>
  <si>
    <t>Internal ring @ 100C/C</t>
  </si>
  <si>
    <t>Column C5046</t>
  </si>
  <si>
    <t>Column C5045</t>
  </si>
  <si>
    <t>SHW506</t>
  </si>
  <si>
    <t>Spacer bars</t>
  </si>
  <si>
    <t>SHW510</t>
  </si>
  <si>
    <t>Chairs</t>
  </si>
  <si>
    <t>Unit Weight</t>
  </si>
  <si>
    <t>Total Weight</t>
  </si>
  <si>
    <t>8.1.1</t>
  </si>
  <si>
    <t>Reinforcement - from foundation to unfinished floor level &amp; Dia of Bars 20 mm &amp; below</t>
  </si>
  <si>
    <t>Kg</t>
  </si>
  <si>
    <t>MT</t>
  </si>
  <si>
    <t>8.1.2</t>
  </si>
  <si>
    <t>Reinforcement - from foundation to unfinished floor level &amp; Dia of Bars above 20 mm</t>
  </si>
  <si>
    <t>Footing  ( F - 16,17,23,24 ) = 4nos</t>
  </si>
  <si>
    <t>Top mat E/W direction @150C/C</t>
  </si>
  <si>
    <t>Top mat N/S direction @150C/C</t>
  </si>
  <si>
    <t>Column C120,121,130,131=4nos</t>
  </si>
  <si>
    <t>Internal links @ 100C/C</t>
  </si>
  <si>
    <t>Summary for Item No 5.7.1</t>
  </si>
  <si>
    <t>B/F page 01 of TMB</t>
  </si>
  <si>
    <t>B/F page 02 of TMB</t>
  </si>
  <si>
    <t>C/O page No: 01/MB 1002</t>
  </si>
  <si>
    <t>C/O page No: 02/TMB</t>
  </si>
  <si>
    <t>C/O to P-1 of 1002</t>
  </si>
  <si>
    <t>B/F ( SWB)  MB 1001 page no 3</t>
  </si>
  <si>
    <t>B/F ( SWB)  MB 1001 page no 1</t>
  </si>
  <si>
    <t>C/O page No: 01/MB 1042.</t>
  </si>
  <si>
    <t>Supplying and placing insitu normal concrete N3o 330kg 38o C temperature</t>
  </si>
  <si>
    <t>B/F ( Zone -III)  MB 1004 page no 1</t>
  </si>
  <si>
    <t>Form work in Straight portions for Below from FFL</t>
  </si>
  <si>
    <t>B/F ( SWB)  MB 1001 page no 2</t>
  </si>
  <si>
    <t>B/F ( Zone -V)  MB 1003 page no 1</t>
  </si>
  <si>
    <t>Supplying and placing insitu Normal concrete of N30 grade for 29o C</t>
  </si>
  <si>
    <t>Qty Vide P1/ MB 1002</t>
  </si>
  <si>
    <t>Supplying and placing insitu normal concrete N30 grade with minimum cement content 330kg</t>
  </si>
  <si>
    <t>Total</t>
  </si>
  <si>
    <t>Designing, supplying, fabricating,erecting and fixing in position at all levels, form work for…</t>
  </si>
  <si>
    <t>Supplying and placing insitu Normal concrete of N30 grade with minimum cement content</t>
  </si>
  <si>
    <t>B/F ( SWB)  MB 1022 page no 1</t>
  </si>
  <si>
    <t>RA BILL NO. 03   (Zone - V)                                                                                                                                                        CC NO.   7732</t>
  </si>
  <si>
    <t>B/F ( Zone- V)  MB 1021 page no 2</t>
  </si>
  <si>
    <r>
      <t>(</t>
    </r>
    <r>
      <rPr>
        <b/>
        <sz val="11"/>
        <color theme="1"/>
        <rFont val="Verdana"/>
        <family val="2"/>
      </rPr>
      <t>Amount</t>
    </r>
    <r>
      <rPr>
        <sz val="11"/>
        <color theme="1"/>
        <rFont val="Verdana"/>
        <family val="2"/>
      </rPr>
      <t>: )</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</si>
</sst>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
    <numFmt numFmtId="165" formatCode="dd\-mm\-yyyy"/>
    <numFmt numFmtId="166" formatCode="0.0"/>
  </numFmts>
  <fonts count="41">
    <font>
      <sz val="11"/>
      <color theme="1"/>
      <name val="Calibri"/>
      <family val="2"/>
      <scheme val="minor"/>
    </font>
    <font>
      <b/>
      <sz val="11"/>
      <color theme="1"/>
      <name val="Calibri"/>
      <family val="2"/>
      <scheme val="minor"/>
    </font>
    <font>
      <b/>
      <sz val="9"/>
      <color indexed="8"/>
      <name val="Arial"/>
      <family val="2"/>
    </font>
    <font>
      <b/>
      <sz val="10"/>
      <color indexed="8"/>
      <name val="Arial"/>
      <family val="2"/>
    </font>
    <font>
      <sz val="8.5"/>
      <color indexed="8"/>
      <name val="Arial"/>
      <family val="2"/>
    </font>
    <font>
      <sz val="10"/>
      <color indexed="8"/>
      <name val="Arial"/>
      <family val="2"/>
    </font>
    <font>
      <b/>
      <i/>
      <sz val="10"/>
      <name val="Bookman Old Style"/>
      <family val="1"/>
    </font>
    <font>
      <sz val="11"/>
      <color indexed="8"/>
      <name val="Arial"/>
      <family val="2"/>
    </font>
    <font>
      <sz val="11"/>
      <color indexed="8"/>
      <name val="QIJZMU+Times-Roman"/>
    </font>
    <font>
      <u/>
      <sz val="11"/>
      <color indexed="8"/>
      <name val="QIJZMU+Times-Roman"/>
    </font>
    <font>
      <b/>
      <sz val="11"/>
      <color indexed="8"/>
      <name val="QIJZMU+Times-Roman"/>
    </font>
    <font>
      <sz val="11"/>
      <color indexed="8"/>
      <name val="QIJZMU+Times-Roman"/>
      <family val="2"/>
    </font>
    <font>
      <i/>
      <sz val="11"/>
      <color indexed="8"/>
      <name val="VSRGRB+Times-"/>
      <family val="2"/>
    </font>
    <font>
      <b/>
      <sz val="11"/>
      <color indexed="8"/>
      <name val="Arial"/>
      <family val="2"/>
    </font>
    <font>
      <sz val="11"/>
      <name val="Bookman Old Style"/>
      <family val="1"/>
    </font>
    <font>
      <sz val="11"/>
      <name val="Arial"/>
      <family val="2"/>
    </font>
    <font>
      <sz val="11"/>
      <name val="QIJZMU+Times-Roman"/>
      <family val="2"/>
    </font>
    <font>
      <b/>
      <u/>
      <sz val="11"/>
      <name val="Arial"/>
      <family val="2"/>
    </font>
    <font>
      <b/>
      <sz val="11"/>
      <name val="Arial"/>
      <family val="2"/>
    </font>
    <font>
      <b/>
      <sz val="10"/>
      <color indexed="8"/>
      <name val="GJHRWS+Times-"/>
      <family val="2"/>
    </font>
    <font>
      <sz val="11"/>
      <color theme="1"/>
      <name val="Verdana"/>
      <family val="2"/>
    </font>
    <font>
      <b/>
      <sz val="11"/>
      <color theme="1"/>
      <name val="Verdana"/>
      <family val="2"/>
    </font>
    <font>
      <sz val="11"/>
      <color indexed="8"/>
      <name val="Verdana"/>
      <family val="2"/>
    </font>
    <font>
      <sz val="11"/>
      <name val="Verdana"/>
      <family val="2"/>
    </font>
    <font>
      <b/>
      <i/>
      <sz val="11"/>
      <name val="Verdana"/>
      <family val="2"/>
    </font>
    <font>
      <i/>
      <sz val="11"/>
      <name val="Verdana"/>
      <family val="2"/>
    </font>
    <font>
      <b/>
      <sz val="11"/>
      <name val="Verdana"/>
      <family val="2"/>
    </font>
    <font>
      <b/>
      <u/>
      <sz val="11"/>
      <color theme="1"/>
      <name val="Calibri"/>
      <family val="2"/>
      <scheme val="minor"/>
    </font>
    <font>
      <sz val="10"/>
      <color indexed="8"/>
      <name val="Verdana"/>
      <family val="2"/>
    </font>
    <font>
      <sz val="10"/>
      <name val="Verdana"/>
      <family val="2"/>
    </font>
    <font>
      <sz val="9"/>
      <color indexed="8"/>
      <name val="Verdana"/>
      <family val="2"/>
    </font>
    <font>
      <b/>
      <sz val="10"/>
      <name val="Verdana"/>
      <family val="2"/>
    </font>
    <font>
      <b/>
      <sz val="10"/>
      <color indexed="8"/>
      <name val="Verdana"/>
      <family val="2"/>
    </font>
    <font>
      <b/>
      <sz val="11"/>
      <color rgb="FFFF0000"/>
      <name val="Verdana"/>
      <family val="2"/>
    </font>
    <font>
      <b/>
      <sz val="11"/>
      <color indexed="8"/>
      <name val="Verdana"/>
      <family val="2"/>
    </font>
    <font>
      <b/>
      <sz val="11"/>
      <name val="Bookman Old Style"/>
      <family val="1"/>
    </font>
    <font>
      <b/>
      <i/>
      <sz val="11"/>
      <name val="Bookman Old Style"/>
      <family val="1"/>
    </font>
    <font>
      <vertAlign val="superscript"/>
      <sz val="11"/>
      <color theme="1"/>
      <name val="Verdana"/>
      <family val="2"/>
    </font>
    <font>
      <b/>
      <sz val="10"/>
      <name val="Bookman Old Style"/>
      <family val="1"/>
    </font>
    <font>
      <sz val="10"/>
      <color theme="1"/>
      <name val="Calibri"/>
      <family val="2"/>
      <scheme val="minor"/>
    </font>
    <font>
      <b/>
      <i/>
      <sz val="11"/>
      <color theme="1"/>
      <name val="Verdana"/>
      <family val="2"/>
    </font>
  </fonts>
  <fills count="5">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theme="2" tint="-9.9978637043366805E-2"/>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thin">
        <color indexed="13"/>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right style="hair">
        <color indexed="64"/>
      </right>
      <top style="hair">
        <color indexed="64"/>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hair">
        <color indexed="64"/>
      </right>
      <top style="hair">
        <color indexed="64"/>
      </top>
      <bottom style="hair">
        <color indexed="64"/>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thin">
        <color theme="1"/>
      </left>
      <right style="thin">
        <color theme="1"/>
      </right>
      <top style="thin">
        <color theme="1"/>
      </top>
      <bottom style="thin">
        <color theme="1"/>
      </bottom>
      <diagonal/>
    </border>
    <border>
      <left style="hair">
        <color theme="1" tint="0.499984740745262"/>
      </left>
      <right style="hair">
        <color theme="1" tint="0.499984740745262"/>
      </right>
      <top/>
      <bottom style="hair">
        <color theme="1" tint="0.499984740745262"/>
      </bottom>
      <diagonal/>
    </border>
    <border>
      <left style="thin">
        <color indexed="64"/>
      </left>
      <right style="thin">
        <color theme="1"/>
      </right>
      <top style="thin">
        <color indexed="64"/>
      </top>
      <bottom style="thin">
        <color theme="1"/>
      </bottom>
      <diagonal/>
    </border>
    <border>
      <left style="thin">
        <color theme="1"/>
      </left>
      <right style="thin">
        <color theme="1"/>
      </right>
      <top style="thin">
        <color indexed="64"/>
      </top>
      <bottom style="thin">
        <color theme="1"/>
      </bottom>
      <diagonal/>
    </border>
    <border>
      <left style="thin">
        <color indexed="64"/>
      </left>
      <right style="thin">
        <color theme="1"/>
      </right>
      <top style="thin">
        <color theme="1"/>
      </top>
      <bottom style="thin">
        <color theme="1"/>
      </bottom>
      <diagonal/>
    </border>
    <border>
      <left style="thin">
        <color indexed="64"/>
      </left>
      <right style="hair">
        <color theme="1" tint="0.499984740745262"/>
      </right>
      <top/>
      <bottom style="hair">
        <color theme="1" tint="0.499984740745262"/>
      </bottom>
      <diagonal/>
    </border>
    <border>
      <left style="thin">
        <color indexed="64"/>
      </left>
      <right style="hair">
        <color theme="1" tint="0.499984740745262"/>
      </right>
      <top style="hair">
        <color theme="1" tint="0.499984740745262"/>
      </top>
      <bottom style="hair">
        <color theme="1" tint="0.499984740745262"/>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2">
    <xf numFmtId="0" fontId="0" fillId="0" borderId="0"/>
    <xf numFmtId="0" fontId="5" fillId="0" borderId="0"/>
  </cellStyleXfs>
  <cellXfs count="404">
    <xf numFmtId="0" fontId="0" fillId="0" borderId="0" xfId="0"/>
    <xf numFmtId="0" fontId="0" fillId="0" borderId="1" xfId="0" applyFont="1" applyBorder="1"/>
    <xf numFmtId="0" fontId="7" fillId="0" borderId="1" xfId="1" applyFont="1" applyBorder="1" applyAlignment="1">
      <alignment horizontal="center" vertical="center"/>
    </xf>
    <xf numFmtId="2" fontId="7" fillId="0" borderId="1" xfId="1" applyNumberFormat="1" applyFont="1" applyBorder="1" applyAlignment="1">
      <alignment horizontal="center" vertical="center"/>
    </xf>
    <xf numFmtId="0" fontId="7" fillId="0" borderId="0" xfId="1" applyFont="1" applyAlignment="1">
      <alignment vertical="center"/>
    </xf>
    <xf numFmtId="0" fontId="7" fillId="0" borderId="0" xfId="1" applyFont="1" applyFill="1" applyAlignment="1">
      <alignment vertical="center"/>
    </xf>
    <xf numFmtId="0" fontId="7" fillId="3" borderId="0" xfId="1" applyFont="1" applyFill="1" applyAlignment="1">
      <alignment vertical="center"/>
    </xf>
    <xf numFmtId="0" fontId="11" fillId="0" borderId="0" xfId="1" applyFont="1" applyBorder="1" applyAlignment="1">
      <alignment vertical="center"/>
    </xf>
    <xf numFmtId="0" fontId="11" fillId="0" borderId="13" xfId="1" applyFont="1" applyBorder="1" applyAlignment="1">
      <alignment vertical="center"/>
    </xf>
    <xf numFmtId="0" fontId="13" fillId="0" borderId="0" xfId="1" applyFont="1" applyAlignment="1">
      <alignment vertical="center"/>
    </xf>
    <xf numFmtId="0" fontId="11" fillId="0" borderId="1" xfId="1" applyFont="1" applyBorder="1" applyAlignment="1">
      <alignment horizontal="left" vertical="center"/>
    </xf>
    <xf numFmtId="0" fontId="7" fillId="3" borderId="1" xfId="1" applyFont="1" applyFill="1" applyBorder="1" applyAlignment="1">
      <alignment horizontal="center" vertical="center"/>
    </xf>
    <xf numFmtId="2" fontId="14" fillId="0" borderId="1" xfId="1" applyNumberFormat="1" applyFont="1" applyBorder="1" applyAlignment="1">
      <alignment horizontal="center" vertical="center" wrapText="1"/>
    </xf>
    <xf numFmtId="0" fontId="7" fillId="0" borderId="1" xfId="1" applyFont="1" applyBorder="1" applyAlignment="1">
      <alignment vertical="center"/>
    </xf>
    <xf numFmtId="2" fontId="7" fillId="0" borderId="0" xfId="1" applyNumberFormat="1" applyFont="1" applyAlignment="1">
      <alignment vertical="center"/>
    </xf>
    <xf numFmtId="2" fontId="13" fillId="0" borderId="1" xfId="1" applyNumberFormat="1" applyFont="1" applyBorder="1" applyAlignment="1">
      <alignment horizontal="center" vertical="center"/>
    </xf>
    <xf numFmtId="0" fontId="15" fillId="0" borderId="0" xfId="1" applyFont="1" applyFill="1" applyBorder="1" applyAlignment="1">
      <alignment vertical="center"/>
    </xf>
    <xf numFmtId="0" fontId="16" fillId="0" borderId="0" xfId="1" applyFont="1" applyFill="1" applyBorder="1" applyAlignment="1">
      <alignment horizontal="left" vertical="center"/>
    </xf>
    <xf numFmtId="2" fontId="17" fillId="0" borderId="0" xfId="1" applyNumberFormat="1" applyFont="1" applyFill="1" applyBorder="1" applyAlignment="1">
      <alignment vertical="center"/>
    </xf>
    <xf numFmtId="2" fontId="15" fillId="0" borderId="0" xfId="1" applyNumberFormat="1" applyFont="1" applyFill="1" applyBorder="1" applyAlignment="1">
      <alignment vertical="center"/>
    </xf>
    <xf numFmtId="1" fontId="7" fillId="0" borderId="1" xfId="1" applyNumberFormat="1" applyFont="1" applyBorder="1" applyAlignment="1">
      <alignment horizontal="center" vertical="center"/>
    </xf>
    <xf numFmtId="0" fontId="3" fillId="0" borderId="1" xfId="1" applyFont="1" applyBorder="1" applyAlignment="1">
      <alignment horizontal="center" vertical="center" textRotation="90" wrapText="1"/>
    </xf>
    <xf numFmtId="0" fontId="3" fillId="0" borderId="1" xfId="1" applyFont="1" applyFill="1" applyBorder="1" applyAlignment="1">
      <alignment horizontal="center" vertical="center" textRotation="90" wrapText="1"/>
    </xf>
    <xf numFmtId="0" fontId="3" fillId="3" borderId="1" xfId="1" applyFont="1" applyFill="1" applyBorder="1" applyAlignment="1">
      <alignment horizontal="center" vertical="center" textRotation="90" wrapText="1"/>
    </xf>
    <xf numFmtId="0" fontId="16" fillId="0" borderId="0" xfId="1" applyFont="1" applyFill="1" applyBorder="1" applyAlignment="1">
      <alignment vertical="center"/>
    </xf>
    <xf numFmtId="2" fontId="7" fillId="0" borderId="1" xfId="1" applyNumberFormat="1" applyFont="1" applyBorder="1" applyAlignment="1">
      <alignment vertical="center"/>
    </xf>
    <xf numFmtId="0" fontId="5" fillId="0" borderId="0" xfId="1" applyFont="1" applyAlignment="1">
      <alignment vertical="center"/>
    </xf>
    <xf numFmtId="0" fontId="0" fillId="0" borderId="0" xfId="0" applyFont="1"/>
    <xf numFmtId="0" fontId="7" fillId="0" borderId="1" xfId="1" applyFont="1" applyFill="1" applyBorder="1" applyAlignment="1">
      <alignment horizontal="center" vertical="center"/>
    </xf>
    <xf numFmtId="0" fontId="16" fillId="0" borderId="0" xfId="1" applyFont="1" applyFill="1" applyBorder="1" applyAlignment="1">
      <alignment horizontal="left" vertical="center" wrapText="1"/>
    </xf>
    <xf numFmtId="0" fontId="1" fillId="0" borderId="1" xfId="0" applyFont="1" applyBorder="1" applyAlignment="1">
      <alignment horizontal="center" vertical="center"/>
    </xf>
    <xf numFmtId="2" fontId="0" fillId="0" borderId="1" xfId="0" applyNumberFormat="1" applyFont="1" applyBorder="1" applyAlignment="1">
      <alignment vertical="center"/>
    </xf>
    <xf numFmtId="0" fontId="1" fillId="0" borderId="1" xfId="0" applyFont="1" applyBorder="1" applyAlignment="1">
      <alignment wrapText="1"/>
    </xf>
    <xf numFmtId="0" fontId="5" fillId="0" borderId="3" xfId="1" applyFont="1" applyBorder="1" applyAlignment="1">
      <alignment horizontal="left" vertical="center" wrapText="1"/>
    </xf>
    <xf numFmtId="0" fontId="5" fillId="0" borderId="2" xfId="1" applyFont="1" applyBorder="1" applyAlignment="1">
      <alignment horizontal="left" vertical="center"/>
    </xf>
    <xf numFmtId="0" fontId="0" fillId="0" borderId="0" xfId="0" applyFont="1" applyAlignment="1">
      <alignment horizontal="center" vertical="center"/>
    </xf>
    <xf numFmtId="166" fontId="1" fillId="0" borderId="1" xfId="0" applyNumberFormat="1" applyFont="1" applyBorder="1" applyAlignment="1">
      <alignment vertical="center"/>
    </xf>
    <xf numFmtId="0" fontId="20" fillId="0" borderId="0" xfId="0" applyFont="1"/>
    <xf numFmtId="0" fontId="20" fillId="0" borderId="0" xfId="0" applyFont="1" applyAlignment="1">
      <alignment vertical="top"/>
    </xf>
    <xf numFmtId="0" fontId="20" fillId="0" borderId="0" xfId="0" applyFont="1" applyBorder="1"/>
    <xf numFmtId="164" fontId="20" fillId="0" borderId="5" xfId="0" applyNumberFormat="1" applyFont="1" applyBorder="1" applyAlignment="1">
      <alignment horizontal="right" vertical="center"/>
    </xf>
    <xf numFmtId="164" fontId="21" fillId="0" borderId="5" xfId="0" applyNumberFormat="1" applyFont="1" applyBorder="1" applyAlignment="1">
      <alignment horizontal="right" vertical="center"/>
    </xf>
    <xf numFmtId="164" fontId="20" fillId="0" borderId="0" xfId="0" applyNumberFormat="1" applyFont="1"/>
    <xf numFmtId="0" fontId="20" fillId="0" borderId="8" xfId="0" applyFont="1" applyBorder="1" applyAlignment="1">
      <alignment horizontal="left" vertical="center"/>
    </xf>
    <xf numFmtId="0" fontId="20" fillId="0" borderId="6" xfId="0" applyFont="1" applyBorder="1"/>
    <xf numFmtId="0" fontId="20" fillId="0" borderId="5" xfId="0" applyFont="1" applyBorder="1" applyAlignment="1">
      <alignment horizontal="right"/>
    </xf>
    <xf numFmtId="0" fontId="20" fillId="0" borderId="1" xfId="0" applyFont="1" applyBorder="1"/>
    <xf numFmtId="0" fontId="20" fillId="0" borderId="1" xfId="0" applyFont="1" applyBorder="1" applyAlignment="1">
      <alignment horizontal="right"/>
    </xf>
    <xf numFmtId="0" fontId="20" fillId="0" borderId="0" xfId="0" applyFont="1" applyAlignment="1">
      <alignment horizontal="right"/>
    </xf>
    <xf numFmtId="0" fontId="20" fillId="0" borderId="5" xfId="0" applyFont="1" applyBorder="1" applyAlignment="1">
      <alignment horizontal="left" vertical="top" indent="1"/>
    </xf>
    <xf numFmtId="0" fontId="20" fillId="0" borderId="9" xfId="0" applyFont="1" applyBorder="1" applyAlignment="1">
      <alignment horizontal="left" vertical="top" wrapText="1" indent="1"/>
    </xf>
    <xf numFmtId="0" fontId="20" fillId="0" borderId="9" xfId="0" applyFont="1" applyBorder="1" applyAlignment="1">
      <alignment horizontal="left" vertical="top" indent="1"/>
    </xf>
    <xf numFmtId="0" fontId="20" fillId="0" borderId="1" xfId="0" applyFont="1" applyBorder="1" applyAlignment="1">
      <alignment horizontal="left" vertical="top" indent="1"/>
    </xf>
    <xf numFmtId="0" fontId="20" fillId="0" borderId="0" xfId="0" applyFont="1" applyAlignment="1">
      <alignment horizontal="left" vertical="top" indent="1"/>
    </xf>
    <xf numFmtId="0" fontId="20" fillId="0" borderId="5" xfId="0" applyFont="1" applyBorder="1" applyAlignment="1">
      <alignment horizontal="center" vertical="center"/>
    </xf>
    <xf numFmtId="0" fontId="20" fillId="0" borderId="7" xfId="0" applyFont="1" applyBorder="1" applyAlignment="1">
      <alignment horizontal="center" vertical="center"/>
    </xf>
    <xf numFmtId="165" fontId="22" fillId="2" borderId="1" xfId="0" applyNumberFormat="1" applyFont="1" applyFill="1" applyBorder="1" applyAlignment="1">
      <alignment horizontal="left" vertical="center" wrapText="1"/>
    </xf>
    <xf numFmtId="0" fontId="22" fillId="2" borderId="1" xfId="0" applyFont="1" applyFill="1" applyBorder="1" applyAlignment="1">
      <alignment horizontal="left" vertical="center" wrapText="1"/>
    </xf>
    <xf numFmtId="0" fontId="23" fillId="2" borderId="1" xfId="0" applyFont="1" applyFill="1" applyBorder="1" applyAlignment="1">
      <alignment horizontal="center" vertical="center" wrapText="1"/>
    </xf>
    <xf numFmtId="2" fontId="23" fillId="2" borderId="1" xfId="0" applyNumberFormat="1" applyFont="1" applyFill="1" applyBorder="1" applyAlignment="1">
      <alignment horizontal="center" vertical="center" wrapText="1"/>
    </xf>
    <xf numFmtId="0" fontId="23" fillId="0" borderId="9" xfId="0" applyFont="1" applyFill="1" applyBorder="1" applyAlignment="1" applyProtection="1">
      <alignment horizontal="right" vertical="center" wrapText="1"/>
      <protection locked="0"/>
    </xf>
    <xf numFmtId="164" fontId="23" fillId="0" borderId="9" xfId="0" applyNumberFormat="1" applyFont="1" applyFill="1" applyBorder="1" applyAlignment="1" applyProtection="1">
      <alignment horizontal="right" vertical="center" wrapText="1"/>
      <protection locked="0"/>
    </xf>
    <xf numFmtId="0" fontId="24" fillId="0" borderId="9" xfId="0" applyFont="1" applyFill="1" applyBorder="1" applyAlignment="1" applyProtection="1">
      <alignment horizontal="right" vertical="center" wrapText="1"/>
      <protection locked="0"/>
    </xf>
    <xf numFmtId="0" fontId="25" fillId="0" borderId="5" xfId="0" applyFont="1" applyFill="1" applyBorder="1" applyAlignment="1" applyProtection="1">
      <alignment horizontal="right" wrapText="1"/>
      <protection locked="0"/>
    </xf>
    <xf numFmtId="0" fontId="20" fillId="0" borderId="0" xfId="0" applyFont="1" applyBorder="1" applyAlignment="1">
      <alignment vertical="center"/>
    </xf>
    <xf numFmtId="0" fontId="23" fillId="0" borderId="9" xfId="0" applyFont="1" applyFill="1" applyBorder="1" applyAlignment="1" applyProtection="1">
      <alignment horizontal="center" vertical="center" wrapText="1"/>
      <protection locked="0"/>
    </xf>
    <xf numFmtId="0" fontId="23" fillId="0" borderId="10" xfId="0" applyFont="1" applyFill="1" applyBorder="1" applyAlignment="1" applyProtection="1">
      <alignment horizontal="center" vertical="center" wrapText="1"/>
      <protection locked="0"/>
    </xf>
    <xf numFmtId="0" fontId="24" fillId="0" borderId="10" xfId="0" applyFont="1" applyFill="1" applyBorder="1" applyAlignment="1" applyProtection="1">
      <alignment horizontal="center" vertical="center" wrapText="1"/>
      <protection locked="0"/>
    </xf>
    <xf numFmtId="0" fontId="25" fillId="0" borderId="7" xfId="0" applyFont="1" applyFill="1" applyBorder="1" applyAlignment="1" applyProtection="1">
      <alignment horizontal="center" wrapText="1"/>
      <protection locked="0"/>
    </xf>
    <xf numFmtId="0" fontId="20" fillId="0" borderId="1" xfId="0" applyFont="1" applyBorder="1" applyAlignment="1">
      <alignment horizontal="center"/>
    </xf>
    <xf numFmtId="0" fontId="20" fillId="0" borderId="0" xfId="0" applyFont="1" applyAlignment="1">
      <alignment horizontal="center"/>
    </xf>
    <xf numFmtId="0" fontId="20" fillId="0" borderId="5" xfId="0" applyFont="1" applyBorder="1" applyAlignment="1">
      <alignment horizontal="right" vertical="top"/>
    </xf>
    <xf numFmtId="0" fontId="20" fillId="0" borderId="9" xfId="0" applyFont="1" applyBorder="1" applyAlignment="1">
      <alignment horizontal="right" vertical="top"/>
    </xf>
    <xf numFmtId="0" fontId="20" fillId="0" borderId="6" xfId="0" applyFont="1" applyBorder="1" applyAlignment="1">
      <alignment horizontal="left" vertical="top"/>
    </xf>
    <xf numFmtId="0" fontId="20" fillId="0" borderId="8" xfId="0" applyFont="1" applyBorder="1" applyAlignment="1">
      <alignment horizontal="left" vertical="top"/>
    </xf>
    <xf numFmtId="0" fontId="20" fillId="0" borderId="6" xfId="0" applyFont="1" applyBorder="1" applyAlignment="1">
      <alignment vertical="top"/>
    </xf>
    <xf numFmtId="0" fontId="24" fillId="0" borderId="9" xfId="0" applyFont="1" applyFill="1" applyBorder="1" applyAlignment="1" applyProtection="1">
      <alignment horizontal="center" vertical="center" wrapText="1"/>
      <protection locked="0"/>
    </xf>
    <xf numFmtId="0" fontId="25" fillId="0" borderId="5" xfId="0" applyFont="1" applyFill="1" applyBorder="1" applyAlignment="1" applyProtection="1">
      <alignment horizontal="center" wrapText="1"/>
      <protection locked="0"/>
    </xf>
    <xf numFmtId="0" fontId="21" fillId="0" borderId="5" xfId="0" applyFont="1" applyBorder="1" applyAlignment="1">
      <alignment horizontal="right" vertical="center"/>
    </xf>
    <xf numFmtId="164" fontId="26" fillId="0" borderId="9" xfId="0" applyNumberFormat="1" applyFont="1" applyFill="1" applyBorder="1" applyAlignment="1" applyProtection="1">
      <alignment horizontal="right" vertical="center" wrapText="1"/>
      <protection locked="0"/>
    </xf>
    <xf numFmtId="0" fontId="26" fillId="0" borderId="10" xfId="0" applyFont="1" applyFill="1" applyBorder="1" applyAlignment="1" applyProtection="1">
      <alignment horizontal="center" vertical="center" wrapText="1"/>
      <protection locked="0"/>
    </xf>
    <xf numFmtId="0" fontId="0" fillId="0" borderId="1" xfId="0" applyFill="1" applyBorder="1"/>
    <xf numFmtId="164" fontId="0" fillId="0" borderId="1" xfId="0" applyNumberFormat="1" applyFill="1" applyBorder="1"/>
    <xf numFmtId="0" fontId="0" fillId="0" borderId="1" xfId="0" applyFill="1" applyBorder="1" applyAlignment="1">
      <alignment horizontal="center" vertical="center"/>
    </xf>
    <xf numFmtId="0" fontId="0" fillId="0" borderId="1" xfId="0" applyFont="1" applyFill="1" applyBorder="1" applyAlignment="1" applyProtection="1">
      <alignment vertical="center"/>
      <protection locked="0"/>
    </xf>
    <xf numFmtId="0" fontId="0" fillId="0" borderId="1" xfId="0" applyFont="1" applyFill="1" applyBorder="1" applyAlignment="1">
      <alignment vertical="center"/>
    </xf>
    <xf numFmtId="0" fontId="1" fillId="0" borderId="1" xfId="0" applyFont="1" applyBorder="1" applyAlignment="1">
      <alignment vertical="center"/>
    </xf>
    <xf numFmtId="0" fontId="1" fillId="0" borderId="1" xfId="0" applyFont="1" applyBorder="1" applyAlignment="1">
      <alignment horizontal="right" vertical="center"/>
    </xf>
    <xf numFmtId="164" fontId="1" fillId="0" borderId="1" xfId="0" applyNumberFormat="1" applyFont="1" applyBorder="1" applyAlignment="1">
      <alignment horizontal="right" vertical="center"/>
    </xf>
    <xf numFmtId="164" fontId="1" fillId="0" borderId="1" xfId="0" applyNumberFormat="1" applyFont="1" applyBorder="1" applyAlignment="1">
      <alignment horizontal="center" vertical="center"/>
    </xf>
    <xf numFmtId="164" fontId="1" fillId="0" borderId="1" xfId="0" applyNumberFormat="1" applyFont="1" applyBorder="1" applyAlignment="1">
      <alignment vertical="center"/>
    </xf>
    <xf numFmtId="0" fontId="27" fillId="0" borderId="1" xfId="0" applyFont="1" applyBorder="1" applyAlignment="1">
      <alignment vertical="center"/>
    </xf>
    <xf numFmtId="165" fontId="28" fillId="2" borderId="1" xfId="0" applyNumberFormat="1" applyFont="1" applyFill="1" applyBorder="1" applyAlignment="1" applyProtection="1">
      <alignment horizontal="left" vertical="center" wrapText="1"/>
      <protection locked="0"/>
    </xf>
    <xf numFmtId="2" fontId="28" fillId="2" borderId="1" xfId="0" applyNumberFormat="1" applyFont="1" applyFill="1" applyBorder="1" applyAlignment="1" applyProtection="1">
      <alignment horizontal="left" vertical="center" wrapText="1"/>
      <protection locked="0"/>
    </xf>
    <xf numFmtId="165" fontId="28" fillId="2" borderId="1" xfId="0" applyNumberFormat="1" applyFont="1" applyFill="1" applyBorder="1" applyAlignment="1" applyProtection="1">
      <alignment vertical="center" wrapText="1"/>
      <protection locked="0"/>
    </xf>
    <xf numFmtId="2" fontId="28" fillId="2" borderId="1" xfId="0" applyNumberFormat="1" applyFont="1" applyFill="1" applyBorder="1" applyAlignment="1" applyProtection="1">
      <alignment vertical="center" wrapText="1"/>
      <protection locked="0"/>
    </xf>
    <xf numFmtId="0" fontId="30" fillId="2" borderId="1" xfId="0" applyFont="1" applyFill="1" applyBorder="1" applyAlignment="1">
      <alignment vertical="center" wrapText="1"/>
    </xf>
    <xf numFmtId="2" fontId="20" fillId="0" borderId="0" xfId="0" applyNumberFormat="1" applyFont="1" applyBorder="1"/>
    <xf numFmtId="0" fontId="30" fillId="0" borderId="0" xfId="0" applyFont="1" applyBorder="1" applyAlignment="1" applyProtection="1">
      <alignment vertical="top" wrapText="1"/>
      <protection locked="0"/>
    </xf>
    <xf numFmtId="0" fontId="30" fillId="0" borderId="0" xfId="0" applyFont="1" applyFill="1" applyBorder="1" applyAlignment="1" applyProtection="1">
      <alignment vertical="top" wrapText="1"/>
      <protection locked="0"/>
    </xf>
    <xf numFmtId="0" fontId="13" fillId="2" borderId="1" xfId="0" applyFont="1" applyFill="1" applyBorder="1" applyAlignment="1">
      <alignment horizontal="center" vertical="center" wrapText="1"/>
    </xf>
    <xf numFmtId="0" fontId="0" fillId="0" borderId="1" xfId="0" applyFont="1" applyBorder="1" applyAlignment="1">
      <alignment horizontal="center" vertical="center"/>
    </xf>
    <xf numFmtId="0" fontId="0" fillId="0" borderId="1" xfId="0" applyFont="1" applyBorder="1" applyAlignment="1">
      <alignment vertical="center"/>
    </xf>
    <xf numFmtId="164" fontId="0" fillId="0" borderId="1" xfId="0" applyNumberFormat="1" applyFont="1" applyBorder="1" applyAlignment="1">
      <alignment horizontal="center"/>
    </xf>
    <xf numFmtId="164" fontId="0" fillId="0" borderId="1" xfId="0" applyNumberFormat="1" applyFont="1" applyBorder="1"/>
    <xf numFmtId="0" fontId="0" fillId="0" borderId="1" xfId="0" applyFont="1" applyFill="1" applyBorder="1" applyAlignment="1">
      <alignment horizontal="center" vertical="center"/>
    </xf>
    <xf numFmtId="164" fontId="0" fillId="0" borderId="1" xfId="0" applyNumberFormat="1" applyFont="1" applyBorder="1" applyAlignment="1">
      <alignment horizontal="right" vertical="center"/>
    </xf>
    <xf numFmtId="0" fontId="0" fillId="0" borderId="1" xfId="0" applyFont="1" applyFill="1" applyBorder="1" applyAlignment="1" applyProtection="1">
      <alignment horizontal="right" vertical="center"/>
      <protection locked="0"/>
    </xf>
    <xf numFmtId="164" fontId="0" fillId="0" borderId="1" xfId="0" applyNumberFormat="1" applyFont="1" applyFill="1" applyBorder="1" applyAlignment="1" applyProtection="1">
      <alignment horizontal="right" vertical="center"/>
      <protection locked="0"/>
    </xf>
    <xf numFmtId="164" fontId="0" fillId="0" borderId="1" xfId="0" applyNumberFormat="1" applyFont="1" applyFill="1" applyBorder="1" applyAlignment="1">
      <alignment vertical="center"/>
    </xf>
    <xf numFmtId="0" fontId="0" fillId="0" borderId="1" xfId="0" applyFont="1" applyFill="1" applyBorder="1" applyAlignment="1">
      <alignment horizontal="right" vertical="center"/>
    </xf>
    <xf numFmtId="164" fontId="0" fillId="0" borderId="1" xfId="0" applyNumberFormat="1" applyFont="1" applyFill="1" applyBorder="1" applyAlignment="1">
      <alignment horizontal="right" vertical="center"/>
    </xf>
    <xf numFmtId="164" fontId="0" fillId="0" borderId="1" xfId="0" applyNumberFormat="1" applyFont="1" applyBorder="1" applyAlignment="1">
      <alignment horizontal="center" vertical="center"/>
    </xf>
    <xf numFmtId="0" fontId="0" fillId="0" borderId="1" xfId="0" applyFont="1" applyFill="1" applyBorder="1" applyAlignment="1" applyProtection="1">
      <alignment vertical="center" wrapText="1"/>
      <protection locked="0"/>
    </xf>
    <xf numFmtId="2" fontId="35" fillId="0" borderId="1" xfId="0" applyNumberFormat="1" applyFont="1" applyBorder="1" applyAlignment="1">
      <alignment horizontal="right" vertical="center" wrapText="1"/>
    </xf>
    <xf numFmtId="0" fontId="7" fillId="0" borderId="1" xfId="0" applyFont="1" applyBorder="1" applyAlignment="1">
      <alignment horizontal="center" vertical="center" wrapText="1"/>
    </xf>
    <xf numFmtId="164" fontId="7" fillId="0" borderId="1" xfId="0" applyNumberFormat="1" applyFont="1" applyBorder="1" applyAlignment="1">
      <alignment horizontal="center" vertical="center" wrapText="1"/>
    </xf>
    <xf numFmtId="164" fontId="13" fillId="0" borderId="1" xfId="0" applyNumberFormat="1" applyFont="1" applyBorder="1" applyAlignment="1">
      <alignment horizontal="right" vertical="center" wrapText="1"/>
    </xf>
    <xf numFmtId="164" fontId="7" fillId="0" borderId="1" xfId="0" applyNumberFormat="1" applyFont="1" applyBorder="1" applyAlignment="1">
      <alignment vertical="center" wrapText="1"/>
    </xf>
    <xf numFmtId="2" fontId="36" fillId="0" borderId="1" xfId="0" applyNumberFormat="1" applyFont="1" applyBorder="1" applyAlignment="1">
      <alignment horizontal="left" vertical="center" wrapText="1"/>
    </xf>
    <xf numFmtId="0" fontId="13" fillId="0" borderId="1" xfId="0" applyFont="1" applyBorder="1" applyAlignment="1" applyProtection="1">
      <alignment horizontal="right" vertical="center" wrapText="1"/>
      <protection hidden="1"/>
    </xf>
    <xf numFmtId="0" fontId="7" fillId="0" borderId="1" xfId="0" applyFont="1" applyBorder="1" applyAlignment="1" applyProtection="1">
      <alignment vertical="center" wrapText="1"/>
      <protection hidden="1"/>
    </xf>
    <xf numFmtId="164" fontId="7" fillId="0" borderId="1" xfId="0" applyNumberFormat="1" applyFont="1" applyBorder="1" applyAlignment="1" applyProtection="1">
      <alignment vertical="center" wrapText="1"/>
      <protection hidden="1"/>
    </xf>
    <xf numFmtId="0" fontId="0" fillId="0" borderId="1" xfId="0" applyFont="1" applyBorder="1" applyAlignment="1">
      <alignment horizontal="right" vertical="center"/>
    </xf>
    <xf numFmtId="0" fontId="7" fillId="0" borderId="1" xfId="0" applyFont="1" applyBorder="1" applyAlignment="1">
      <alignment horizontal="right" vertical="center" wrapText="1"/>
    </xf>
    <xf numFmtId="0" fontId="13" fillId="0" borderId="1" xfId="0" applyFont="1" applyBorder="1" applyAlignment="1">
      <alignment horizontal="right" vertical="center" wrapText="1"/>
    </xf>
    <xf numFmtId="0" fontId="0" fillId="0" borderId="0" xfId="0" applyFont="1" applyAlignment="1">
      <alignment horizontal="right" vertical="center"/>
    </xf>
    <xf numFmtId="0" fontId="0" fillId="0" borderId="0" xfId="0" applyFont="1" applyAlignment="1">
      <alignment vertical="center"/>
    </xf>
    <xf numFmtId="164" fontId="0" fillId="0" borderId="1" xfId="0" applyNumberFormat="1" applyFont="1" applyBorder="1" applyAlignment="1">
      <alignment vertical="center"/>
    </xf>
    <xf numFmtId="0" fontId="0" fillId="0" borderId="1" xfId="0" applyFont="1" applyBorder="1" applyAlignment="1">
      <alignment vertical="center" wrapText="1"/>
    </xf>
    <xf numFmtId="166" fontId="0" fillId="0" borderId="1" xfId="0" applyNumberFormat="1" applyFont="1" applyBorder="1" applyAlignment="1">
      <alignment vertical="center"/>
    </xf>
    <xf numFmtId="166" fontId="0" fillId="0" borderId="1" xfId="0" applyNumberFormat="1" applyFont="1" applyBorder="1"/>
    <xf numFmtId="0" fontId="0" fillId="0" borderId="1" xfId="0" applyFont="1" applyBorder="1" applyAlignment="1">
      <alignment wrapText="1"/>
    </xf>
    <xf numFmtId="0" fontId="1" fillId="0" borderId="1" xfId="0" applyFont="1" applyBorder="1" applyAlignment="1">
      <alignment vertical="center" wrapText="1"/>
    </xf>
    <xf numFmtId="0" fontId="1" fillId="0" borderId="1" xfId="0" applyFont="1" applyFill="1" applyBorder="1" applyAlignment="1" applyProtection="1">
      <alignment vertical="center" wrapText="1"/>
      <protection locked="0"/>
    </xf>
    <xf numFmtId="0" fontId="1" fillId="0" borderId="1" xfId="0" applyFont="1" applyFill="1" applyBorder="1" applyAlignment="1" applyProtection="1">
      <alignment horizontal="right" vertical="center" wrapText="1"/>
      <protection locked="0"/>
    </xf>
    <xf numFmtId="0" fontId="0" fillId="0" borderId="0" xfId="0" applyFont="1" applyAlignment="1">
      <alignment wrapText="1"/>
    </xf>
    <xf numFmtId="0" fontId="23" fillId="2" borderId="1" xfId="0" applyFont="1" applyFill="1" applyBorder="1" applyAlignment="1">
      <alignment horizontal="center" vertical="center" wrapText="1"/>
    </xf>
    <xf numFmtId="2" fontId="34" fillId="2" borderId="1" xfId="0" applyNumberFormat="1" applyFont="1" applyFill="1" applyBorder="1" applyAlignment="1" applyProtection="1">
      <alignment horizontal="center" vertical="center" wrapText="1"/>
      <protection locked="0"/>
    </xf>
    <xf numFmtId="0" fontId="23" fillId="0" borderId="5" xfId="0" applyFont="1" applyFill="1" applyBorder="1" applyAlignment="1" applyProtection="1">
      <alignment vertical="center" wrapText="1"/>
      <protection locked="0"/>
    </xf>
    <xf numFmtId="0" fontId="23" fillId="0" borderId="7" xfId="0" applyFont="1" applyFill="1" applyBorder="1" applyAlignment="1" applyProtection="1">
      <alignment vertical="center" wrapText="1"/>
      <protection locked="0"/>
    </xf>
    <xf numFmtId="0" fontId="0" fillId="0" borderId="0" xfId="0" applyFill="1"/>
    <xf numFmtId="0" fontId="2" fillId="0" borderId="1" xfId="0" applyFont="1" applyFill="1" applyBorder="1" applyAlignment="1">
      <alignment horizontal="center" vertical="center" wrapText="1"/>
    </xf>
    <xf numFmtId="2" fontId="0" fillId="0" borderId="1" xfId="0" applyNumberFormat="1" applyFill="1" applyBorder="1"/>
    <xf numFmtId="0" fontId="0" fillId="0" borderId="1" xfId="0" applyFill="1" applyBorder="1" applyAlignment="1">
      <alignment vertical="center"/>
    </xf>
    <xf numFmtId="2" fontId="0" fillId="0" borderId="1" xfId="0" applyNumberFormat="1" applyFill="1" applyBorder="1" applyAlignment="1">
      <alignment horizontal="center" vertical="center"/>
    </xf>
    <xf numFmtId="0" fontId="1" fillId="0" borderId="1" xfId="0" applyFont="1" applyFill="1" applyBorder="1" applyAlignment="1">
      <alignment vertical="top"/>
    </xf>
    <xf numFmtId="0" fontId="0" fillId="0" borderId="1" xfId="0" applyFill="1" applyBorder="1" applyAlignment="1" applyProtection="1">
      <alignment horizontal="center" vertical="center"/>
      <protection locked="0"/>
    </xf>
    <xf numFmtId="0" fontId="0" fillId="0" borderId="1" xfId="0" applyFill="1" applyBorder="1" applyAlignment="1" applyProtection="1">
      <alignment horizontal="right"/>
      <protection locked="0"/>
    </xf>
    <xf numFmtId="164" fontId="0" fillId="0" borderId="1" xfId="0" applyNumberFormat="1" applyFill="1" applyBorder="1" applyAlignment="1" applyProtection="1">
      <alignment horizontal="right"/>
      <protection locked="0"/>
    </xf>
    <xf numFmtId="0" fontId="0" fillId="0" borderId="1" xfId="0" applyFont="1" applyFill="1" applyBorder="1"/>
    <xf numFmtId="0" fontId="1" fillId="0" borderId="1" xfId="0" applyFont="1" applyFill="1" applyBorder="1" applyAlignment="1" applyProtection="1">
      <alignment vertical="center"/>
      <protection locked="0"/>
    </xf>
    <xf numFmtId="0" fontId="0" fillId="0" borderId="1" xfId="0" applyFill="1" applyBorder="1" applyProtection="1">
      <protection locked="0"/>
    </xf>
    <xf numFmtId="164" fontId="0" fillId="0" borderId="1" xfId="0" applyNumberFormat="1" applyFill="1" applyBorder="1" applyAlignment="1">
      <alignment vertical="center"/>
    </xf>
    <xf numFmtId="2" fontId="6" fillId="0" borderId="1" xfId="0" applyNumberFormat="1" applyFont="1" applyFill="1" applyBorder="1" applyAlignment="1">
      <alignment horizontal="left"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center" vertical="top" wrapText="1"/>
    </xf>
    <xf numFmtId="164" fontId="5" fillId="0" borderId="1" xfId="0" applyNumberFormat="1" applyFont="1" applyFill="1" applyBorder="1" applyAlignment="1">
      <alignment vertical="center" wrapText="1"/>
    </xf>
    <xf numFmtId="164" fontId="5" fillId="0" borderId="1" xfId="0" applyNumberFormat="1" applyFont="1" applyFill="1" applyBorder="1" applyAlignment="1" applyProtection="1">
      <alignment vertical="center" wrapText="1"/>
      <protection hidden="1"/>
    </xf>
    <xf numFmtId="164" fontId="1" fillId="0" borderId="1" xfId="0" applyNumberFormat="1" applyFont="1" applyFill="1" applyBorder="1" applyAlignment="1">
      <alignment horizontal="center"/>
    </xf>
    <xf numFmtId="0" fontId="1" fillId="0" borderId="1" xfId="0" applyFont="1" applyFill="1" applyBorder="1"/>
    <xf numFmtId="164" fontId="1" fillId="0" borderId="1" xfId="0" applyNumberFormat="1" applyFont="1" applyFill="1" applyBorder="1"/>
    <xf numFmtId="0" fontId="1" fillId="0" borderId="1" xfId="0" applyFont="1" applyFill="1" applyBorder="1" applyAlignment="1">
      <alignment horizontal="center" vertical="center"/>
    </xf>
    <xf numFmtId="0" fontId="0" fillId="0" borderId="0" xfId="0" applyFill="1" applyAlignment="1">
      <alignment horizontal="center" vertical="center"/>
    </xf>
    <xf numFmtId="0" fontId="1" fillId="0" borderId="1" xfId="0" applyFont="1" applyFill="1" applyBorder="1" applyAlignment="1">
      <alignment horizontal="right"/>
    </xf>
    <xf numFmtId="2" fontId="1" fillId="0" borderId="1" xfId="0" applyNumberFormat="1" applyFont="1" applyFill="1" applyBorder="1"/>
    <xf numFmtId="164" fontId="1" fillId="0" borderId="1" xfId="0" applyNumberFormat="1" applyFont="1" applyFill="1" applyBorder="1" applyAlignment="1">
      <alignment horizontal="center" vertical="center"/>
    </xf>
    <xf numFmtId="0" fontId="20" fillId="0" borderId="20" xfId="0" applyFont="1" applyBorder="1" applyAlignment="1">
      <alignment horizontal="left" vertical="top"/>
    </xf>
    <xf numFmtId="0" fontId="24" fillId="0" borderId="8" xfId="0" applyFont="1" applyFill="1" applyBorder="1" applyAlignment="1" applyProtection="1">
      <alignment horizontal="right" vertical="center" wrapText="1"/>
      <protection locked="0"/>
    </xf>
    <xf numFmtId="0" fontId="24" fillId="0" borderId="10" xfId="0" applyFont="1" applyFill="1" applyBorder="1" applyAlignment="1" applyProtection="1">
      <alignment horizontal="right" vertical="center" wrapText="1"/>
      <protection locked="0"/>
    </xf>
    <xf numFmtId="0" fontId="23" fillId="0" borderId="10" xfId="0" applyFont="1" applyFill="1" applyBorder="1" applyAlignment="1" applyProtection="1">
      <alignment horizontal="right" vertical="center" wrapText="1"/>
      <protection locked="0"/>
    </xf>
    <xf numFmtId="0" fontId="26" fillId="0" borderId="10" xfId="0" applyFont="1" applyFill="1" applyBorder="1" applyAlignment="1" applyProtection="1">
      <alignment horizontal="right" vertical="center" wrapText="1"/>
      <protection locked="0"/>
    </xf>
    <xf numFmtId="0" fontId="20" fillId="0" borderId="21" xfId="0" applyFont="1" applyBorder="1" applyAlignment="1">
      <alignment horizontal="left" vertical="top"/>
    </xf>
    <xf numFmtId="0" fontId="20" fillId="0" borderId="22" xfId="0" applyFont="1" applyBorder="1" applyAlignment="1">
      <alignment horizontal="right" vertical="top"/>
    </xf>
    <xf numFmtId="0" fontId="20" fillId="0" borderId="22" xfId="0" applyFont="1" applyBorder="1" applyAlignment="1">
      <alignment horizontal="left" vertical="top" indent="1"/>
    </xf>
    <xf numFmtId="0" fontId="24" fillId="0" borderId="22" xfId="0" applyFont="1" applyFill="1" applyBorder="1" applyAlignment="1" applyProtection="1">
      <alignment horizontal="center" vertical="center" wrapText="1"/>
      <protection locked="0"/>
    </xf>
    <xf numFmtId="0" fontId="24" fillId="0" borderId="22" xfId="0" applyFont="1" applyFill="1" applyBorder="1" applyAlignment="1" applyProtection="1">
      <alignment horizontal="right" vertical="center" wrapText="1"/>
      <protection locked="0"/>
    </xf>
    <xf numFmtId="0" fontId="24" fillId="0" borderId="23" xfId="0" applyFont="1" applyFill="1" applyBorder="1" applyAlignment="1" applyProtection="1">
      <alignment horizontal="center" vertical="center" wrapText="1"/>
      <protection locked="0"/>
    </xf>
    <xf numFmtId="2" fontId="34" fillId="2" borderId="14" xfId="0" applyNumberFormat="1" applyFont="1" applyFill="1" applyBorder="1" applyAlignment="1" applyProtection="1">
      <alignment horizontal="right" vertical="center" wrapText="1"/>
      <protection locked="0"/>
    </xf>
    <xf numFmtId="2" fontId="34" fillId="2" borderId="14" xfId="0" applyNumberFormat="1" applyFont="1" applyFill="1" applyBorder="1" applyAlignment="1" applyProtection="1">
      <alignment horizontal="center" vertical="center" wrapText="1"/>
      <protection locked="0"/>
    </xf>
    <xf numFmtId="0" fontId="20" fillId="0" borderId="5" xfId="0" applyFont="1" applyBorder="1" applyAlignment="1">
      <alignment vertical="center"/>
    </xf>
    <xf numFmtId="2" fontId="20" fillId="0" borderId="5" xfId="0" applyNumberFormat="1" applyFont="1" applyBorder="1" applyAlignment="1">
      <alignment vertical="center"/>
    </xf>
    <xf numFmtId="2" fontId="29" fillId="0" borderId="5" xfId="0" applyNumberFormat="1" applyFont="1" applyBorder="1" applyAlignment="1">
      <alignment horizontal="left" vertical="center" wrapText="1"/>
    </xf>
    <xf numFmtId="164" fontId="20" fillId="0" borderId="5" xfId="0" applyNumberFormat="1" applyFont="1" applyBorder="1" applyAlignment="1">
      <alignment vertical="center"/>
    </xf>
    <xf numFmtId="0" fontId="20" fillId="0" borderId="5" xfId="0" applyFont="1" applyBorder="1"/>
    <xf numFmtId="0" fontId="34" fillId="0" borderId="5" xfId="0" applyFont="1" applyBorder="1"/>
    <xf numFmtId="164" fontId="26" fillId="0" borderId="5" xfId="0" applyNumberFormat="1" applyFont="1" applyFill="1" applyBorder="1" applyAlignment="1" applyProtection="1">
      <alignment horizontal="right" vertical="center" wrapText="1"/>
    </xf>
    <xf numFmtId="164" fontId="34" fillId="0" borderId="5" xfId="0" applyNumberFormat="1" applyFont="1" applyFill="1" applyBorder="1" applyAlignment="1" applyProtection="1">
      <alignment horizontal="right" vertical="center" wrapText="1"/>
      <protection locked="0"/>
    </xf>
    <xf numFmtId="2" fontId="21" fillId="0" borderId="5" xfId="0" applyNumberFormat="1" applyFont="1" applyBorder="1"/>
    <xf numFmtId="0" fontId="34" fillId="0" borderId="5" xfId="0" applyFont="1" applyBorder="1" applyAlignment="1">
      <alignment horizontal="left"/>
    </xf>
    <xf numFmtId="0" fontId="21" fillId="0" borderId="5" xfId="0" applyFont="1" applyBorder="1"/>
    <xf numFmtId="0" fontId="20" fillId="0" borderId="6" xfId="0" applyFont="1" applyBorder="1" applyAlignment="1">
      <alignment horizontal="right" vertical="center"/>
    </xf>
    <xf numFmtId="0" fontId="20" fillId="0" borderId="7" xfId="0" applyFont="1" applyBorder="1" applyAlignment="1">
      <alignment vertical="center"/>
    </xf>
    <xf numFmtId="0" fontId="33" fillId="0" borderId="7" xfId="0" applyFont="1" applyBorder="1" applyAlignment="1">
      <alignment vertical="center" wrapText="1"/>
    </xf>
    <xf numFmtId="0" fontId="20" fillId="0" borderId="7" xfId="0" applyFont="1" applyBorder="1"/>
    <xf numFmtId="0" fontId="20" fillId="0" borderId="21" xfId="0" applyFont="1" applyBorder="1"/>
    <xf numFmtId="0" fontId="34" fillId="0" borderId="22" xfId="0" applyFont="1" applyBorder="1" applyAlignment="1">
      <alignment horizontal="left"/>
    </xf>
    <xf numFmtId="164" fontId="26" fillId="0" borderId="22" xfId="0" applyNumberFormat="1" applyFont="1" applyFill="1" applyBorder="1" applyAlignment="1" applyProtection="1">
      <alignment horizontal="right" vertical="center" wrapText="1"/>
    </xf>
    <xf numFmtId="164" fontId="34" fillId="0" borderId="22" xfId="0" applyNumberFormat="1" applyFont="1" applyFill="1" applyBorder="1" applyAlignment="1" applyProtection="1">
      <alignment horizontal="right" vertical="center" wrapText="1"/>
      <protection locked="0"/>
    </xf>
    <xf numFmtId="0" fontId="20" fillId="0" borderId="22" xfId="0" applyFont="1" applyBorder="1"/>
    <xf numFmtId="2" fontId="21" fillId="0" borderId="22" xfId="0" applyNumberFormat="1" applyFont="1" applyBorder="1"/>
    <xf numFmtId="0" fontId="20" fillId="0" borderId="23" xfId="0" applyFont="1" applyBorder="1"/>
    <xf numFmtId="0" fontId="23" fillId="2" borderId="1" xfId="0" applyFont="1" applyFill="1" applyBorder="1" applyAlignment="1">
      <alignment horizontal="center" vertical="center" wrapText="1"/>
    </xf>
    <xf numFmtId="164" fontId="7" fillId="0" borderId="1" xfId="0" applyNumberFormat="1" applyFont="1" applyFill="1" applyBorder="1" applyAlignment="1">
      <alignment horizontal="right" wrapText="1"/>
    </xf>
    <xf numFmtId="0" fontId="7" fillId="0" borderId="1" xfId="0" applyFont="1" applyFill="1" applyBorder="1" applyAlignment="1" applyProtection="1">
      <alignment horizontal="right" wrapText="1"/>
      <protection hidden="1"/>
    </xf>
    <xf numFmtId="164" fontId="7" fillId="0" borderId="1" xfId="0" applyNumberFormat="1" applyFont="1" applyFill="1" applyBorder="1" applyAlignment="1" applyProtection="1">
      <alignment horizontal="right" wrapText="1"/>
      <protection hidden="1"/>
    </xf>
    <xf numFmtId="164" fontId="0" fillId="0" borderId="1" xfId="0" applyNumberFormat="1" applyFill="1" applyBorder="1" applyAlignment="1">
      <alignment horizontal="right" vertical="center"/>
    </xf>
    <xf numFmtId="164" fontId="1" fillId="0" borderId="1" xfId="0" applyNumberFormat="1" applyFont="1" applyFill="1" applyBorder="1" applyAlignment="1">
      <alignment horizontal="right" vertical="center"/>
    </xf>
    <xf numFmtId="164" fontId="0" fillId="0" borderId="1" xfId="0" applyNumberFormat="1" applyFill="1" applyBorder="1" applyAlignment="1">
      <alignment horizontal="center" vertical="center"/>
    </xf>
    <xf numFmtId="164" fontId="7" fillId="0" borderId="1" xfId="0" applyNumberFormat="1" applyFont="1" applyFill="1" applyBorder="1" applyAlignment="1">
      <alignment horizontal="center" wrapText="1"/>
    </xf>
    <xf numFmtId="2" fontId="20" fillId="0" borderId="0" xfId="0" applyNumberFormat="1" applyFont="1" applyBorder="1" applyAlignment="1">
      <alignment horizontal="center"/>
    </xf>
    <xf numFmtId="0" fontId="20" fillId="0" borderId="0" xfId="0" applyFont="1" applyBorder="1" applyAlignment="1">
      <alignment horizontal="center"/>
    </xf>
    <xf numFmtId="1" fontId="13" fillId="0" borderId="1" xfId="1" applyNumberFormat="1" applyFont="1" applyBorder="1" applyAlignment="1">
      <alignment horizontal="center" vertical="center"/>
    </xf>
    <xf numFmtId="1" fontId="17" fillId="0" borderId="0" xfId="1" applyNumberFormat="1" applyFont="1" applyFill="1" applyBorder="1" applyAlignment="1">
      <alignment vertical="center"/>
    </xf>
    <xf numFmtId="1" fontId="18" fillId="0" borderId="0" xfId="1" applyNumberFormat="1" applyFont="1" applyFill="1" applyBorder="1" applyAlignment="1">
      <alignment vertical="center"/>
    </xf>
    <xf numFmtId="0" fontId="20" fillId="0" borderId="24" xfId="0" applyFont="1" applyBorder="1" applyAlignment="1">
      <alignment vertical="top"/>
    </xf>
    <xf numFmtId="0" fontId="20" fillId="0" borderId="25" xfId="0" applyFont="1" applyBorder="1" applyAlignment="1">
      <alignment horizontal="right"/>
    </xf>
    <xf numFmtId="0" fontId="20" fillId="0" borderId="25" xfId="0" applyFont="1" applyBorder="1" applyAlignment="1">
      <alignment horizontal="left" vertical="top" indent="1"/>
    </xf>
    <xf numFmtId="0" fontId="25" fillId="0" borderId="25" xfId="0" applyFont="1" applyFill="1" applyBorder="1" applyAlignment="1" applyProtection="1">
      <alignment horizontal="center" wrapText="1"/>
      <protection locked="0"/>
    </xf>
    <xf numFmtId="0" fontId="25" fillId="0" borderId="25" xfId="0" applyFont="1" applyFill="1" applyBorder="1" applyAlignment="1" applyProtection="1">
      <alignment horizontal="right" wrapText="1"/>
      <protection locked="0"/>
    </xf>
    <xf numFmtId="0" fontId="25" fillId="0" borderId="26" xfId="0" applyFont="1" applyFill="1" applyBorder="1" applyAlignment="1" applyProtection="1">
      <alignment horizontal="center" wrapText="1"/>
      <protection locked="0"/>
    </xf>
    <xf numFmtId="0" fontId="21" fillId="0" borderId="5" xfId="0" applyFont="1" applyBorder="1" applyAlignment="1">
      <alignment horizontal="center"/>
    </xf>
    <xf numFmtId="0" fontId="21" fillId="0" borderId="5" xfId="0" applyFont="1" applyBorder="1" applyAlignment="1">
      <alignment horizontal="right"/>
    </xf>
    <xf numFmtId="0" fontId="21" fillId="0" borderId="5" xfId="0" applyFont="1" applyBorder="1" applyAlignment="1">
      <alignment horizontal="center" vertical="center"/>
    </xf>
    <xf numFmtId="164" fontId="13" fillId="0" borderId="1" xfId="0" applyNumberFormat="1" applyFont="1" applyFill="1" applyBorder="1" applyAlignment="1">
      <alignment horizontal="right" vertical="center" wrapText="1"/>
    </xf>
    <xf numFmtId="164" fontId="13" fillId="0" borderId="1" xfId="0" applyNumberFormat="1" applyFont="1" applyFill="1" applyBorder="1" applyAlignment="1">
      <alignment horizontal="center" vertical="center" wrapText="1"/>
    </xf>
    <xf numFmtId="2" fontId="38" fillId="0" borderId="1" xfId="0" applyNumberFormat="1" applyFont="1" applyFill="1" applyBorder="1" applyAlignment="1">
      <alignment horizontal="right" vertical="center" wrapText="1"/>
    </xf>
    <xf numFmtId="0" fontId="3" fillId="0" borderId="1" xfId="0" applyFont="1" applyFill="1" applyBorder="1" applyAlignment="1" applyProtection="1">
      <alignment horizontal="right" vertical="center" wrapText="1"/>
      <protection hidden="1"/>
    </xf>
    <xf numFmtId="166" fontId="20" fillId="0" borderId="0" xfId="0" applyNumberFormat="1" applyFont="1" applyBorder="1"/>
    <xf numFmtId="0" fontId="0" fillId="0" borderId="0" xfId="0" applyFont="1" applyBorder="1"/>
    <xf numFmtId="0" fontId="0" fillId="0" borderId="0" xfId="0" applyFont="1" applyBorder="1" applyAlignment="1">
      <alignment vertical="center"/>
    </xf>
    <xf numFmtId="0" fontId="0" fillId="0" borderId="0" xfId="0" applyFont="1" applyBorder="1" applyAlignment="1">
      <alignment horizontal="center" vertical="center"/>
    </xf>
    <xf numFmtId="0" fontId="0" fillId="0" borderId="0" xfId="0" applyFont="1" applyBorder="1" applyAlignment="1">
      <alignment wrapText="1"/>
    </xf>
    <xf numFmtId="0" fontId="0" fillId="0" borderId="28" xfId="0" applyFont="1" applyBorder="1" applyAlignment="1">
      <alignment vertical="center"/>
    </xf>
    <xf numFmtId="0" fontId="0" fillId="0" borderId="28" xfId="0" applyFont="1" applyBorder="1" applyAlignment="1">
      <alignment vertical="center" wrapText="1"/>
    </xf>
    <xf numFmtId="0" fontId="0" fillId="0" borderId="28" xfId="0" applyFont="1" applyBorder="1" applyAlignment="1">
      <alignment horizontal="center" vertical="center"/>
    </xf>
    <xf numFmtId="0" fontId="0" fillId="0" borderId="30" xfId="0" applyFont="1" applyBorder="1" applyAlignment="1">
      <alignment vertical="center"/>
    </xf>
    <xf numFmtId="0" fontId="0" fillId="0" borderId="34" xfId="0" applyFont="1" applyBorder="1" applyAlignment="1">
      <alignment vertical="center"/>
    </xf>
    <xf numFmtId="0" fontId="0" fillId="0" borderId="35" xfId="0" applyFont="1" applyBorder="1" applyAlignment="1">
      <alignment vertical="center"/>
    </xf>
    <xf numFmtId="0" fontId="20" fillId="0" borderId="5" xfId="0" applyFont="1" applyBorder="1" applyAlignment="1">
      <alignment horizontal="left" vertical="center"/>
    </xf>
    <xf numFmtId="0" fontId="20" fillId="0" borderId="17" xfId="0" applyFont="1" applyBorder="1" applyAlignment="1">
      <alignment vertical="top" wrapText="1"/>
    </xf>
    <xf numFmtId="0" fontId="20" fillId="0" borderId="18" xfId="0" applyFont="1" applyBorder="1" applyAlignment="1">
      <alignment vertical="top" wrapText="1"/>
    </xf>
    <xf numFmtId="0" fontId="20" fillId="0" borderId="9" xfId="0" applyFont="1" applyBorder="1" applyAlignment="1">
      <alignment horizontal="left" vertical="center"/>
    </xf>
    <xf numFmtId="0" fontId="20" fillId="0" borderId="9" xfId="0" applyFont="1" applyBorder="1" applyAlignment="1">
      <alignment horizontal="left" vertical="center" indent="1"/>
    </xf>
    <xf numFmtId="0" fontId="20" fillId="0" borderId="9" xfId="0" applyFont="1" applyBorder="1" applyAlignment="1">
      <alignment vertical="center"/>
    </xf>
    <xf numFmtId="0" fontId="20" fillId="0" borderId="6" xfId="0" applyFont="1" applyBorder="1" applyAlignment="1">
      <alignment horizontal="left" vertical="center"/>
    </xf>
    <xf numFmtId="0" fontId="21" fillId="0" borderId="9" xfId="0" applyFont="1" applyBorder="1" applyAlignment="1">
      <alignment horizontal="right" vertical="center"/>
    </xf>
    <xf numFmtId="0" fontId="20" fillId="0" borderId="9" xfId="0" applyFont="1" applyBorder="1" applyAlignment="1">
      <alignment horizontal="center" vertical="center"/>
    </xf>
    <xf numFmtId="164" fontId="20" fillId="0" borderId="9" xfId="0" applyNumberFormat="1" applyFont="1" applyBorder="1" applyAlignment="1">
      <alignment horizontal="right" vertical="center"/>
    </xf>
    <xf numFmtId="0" fontId="20" fillId="0" borderId="0" xfId="0" applyFont="1" applyBorder="1" applyAlignment="1">
      <alignment horizontal="left" vertical="top"/>
    </xf>
    <xf numFmtId="0" fontId="20" fillId="0" borderId="9" xfId="0" applyFont="1" applyBorder="1" applyAlignment="1">
      <alignment horizontal="right" vertical="center"/>
    </xf>
    <xf numFmtId="0" fontId="0" fillId="0" borderId="36" xfId="0" applyBorder="1" applyAlignment="1">
      <alignment vertical="center"/>
    </xf>
    <xf numFmtId="2" fontId="0" fillId="0" borderId="1" xfId="0" applyNumberFormat="1" applyBorder="1" applyAlignment="1">
      <alignment horizontal="center" vertical="center"/>
    </xf>
    <xf numFmtId="0" fontId="1" fillId="0" borderId="1" xfId="0" applyFont="1" applyBorder="1" applyAlignment="1">
      <alignment vertical="top"/>
    </xf>
    <xf numFmtId="0" fontId="0" fillId="0" borderId="1" xfId="0" applyBorder="1" applyAlignment="1">
      <alignment horizontal="center" vertical="center"/>
    </xf>
    <xf numFmtId="0" fontId="0" fillId="0" borderId="1" xfId="0" applyBorder="1"/>
    <xf numFmtId="2" fontId="0" fillId="0" borderId="1" xfId="0" applyNumberFormat="1" applyBorder="1"/>
    <xf numFmtId="164" fontId="0" fillId="0" borderId="1" xfId="0" applyNumberFormat="1" applyBorder="1" applyAlignment="1">
      <alignment horizontal="center"/>
    </xf>
    <xf numFmtId="0" fontId="0" fillId="0" borderId="36" xfId="0" applyBorder="1"/>
    <xf numFmtId="0" fontId="1" fillId="0" borderId="1" xfId="0" applyFont="1" applyFill="1" applyBorder="1" applyAlignment="1">
      <alignment vertical="center"/>
    </xf>
    <xf numFmtId="2" fontId="6" fillId="0" borderId="1" xfId="0" applyNumberFormat="1" applyFont="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top" wrapText="1"/>
    </xf>
    <xf numFmtId="164" fontId="5" fillId="0" borderId="1" xfId="0" applyNumberFormat="1" applyFont="1" applyBorder="1" applyAlignment="1">
      <alignment vertical="center" wrapText="1"/>
    </xf>
    <xf numFmtId="0" fontId="3" fillId="0" borderId="1" xfId="0" applyFont="1" applyBorder="1" applyAlignment="1" applyProtection="1">
      <alignment vertical="top" wrapText="1"/>
      <protection hidden="1"/>
    </xf>
    <xf numFmtId="0" fontId="5" fillId="0" borderId="1" xfId="0" applyFont="1" applyBorder="1" applyAlignment="1" applyProtection="1">
      <alignment vertical="center" wrapText="1"/>
      <protection hidden="1"/>
    </xf>
    <xf numFmtId="164" fontId="5" fillId="0" borderId="1" xfId="0" applyNumberFormat="1" applyFont="1" applyBorder="1" applyAlignment="1" applyProtection="1">
      <alignment vertical="center" wrapText="1"/>
      <protection hidden="1"/>
    </xf>
    <xf numFmtId="0" fontId="3" fillId="0" borderId="1" xfId="0" applyFont="1" applyBorder="1" applyAlignment="1">
      <alignment vertical="top" wrapText="1"/>
    </xf>
    <xf numFmtId="0" fontId="0" fillId="0" borderId="0" xfId="0" applyBorder="1"/>
    <xf numFmtId="0" fontId="1" fillId="0" borderId="1" xfId="0" applyFont="1" applyBorder="1"/>
    <xf numFmtId="0" fontId="0" fillId="0" borderId="37" xfId="0" applyBorder="1"/>
    <xf numFmtId="0" fontId="0" fillId="0" borderId="38" xfId="0" applyBorder="1"/>
    <xf numFmtId="0" fontId="0" fillId="0" borderId="38" xfId="0" applyBorder="1" applyAlignment="1">
      <alignment horizontal="center" vertical="center"/>
    </xf>
    <xf numFmtId="0" fontId="0" fillId="0" borderId="1" xfId="0" applyBorder="1" applyAlignment="1">
      <alignment vertical="center"/>
    </xf>
    <xf numFmtId="0" fontId="0" fillId="0" borderId="1" xfId="0" applyBorder="1" applyAlignment="1">
      <alignment horizontal="left" vertical="center"/>
    </xf>
    <xf numFmtId="0" fontId="1" fillId="0" borderId="1" xfId="0" applyFont="1" applyBorder="1" applyAlignment="1">
      <alignment horizontal="left" vertical="center" wrapText="1"/>
    </xf>
    <xf numFmtId="164" fontId="39" fillId="0" borderId="1" xfId="0" applyNumberFormat="1" applyFont="1" applyBorder="1" applyAlignment="1">
      <alignment vertical="center"/>
    </xf>
    <xf numFmtId="0" fontId="0" fillId="0" borderId="0" xfId="0" applyBorder="1" applyAlignment="1">
      <alignment vertical="center"/>
    </xf>
    <xf numFmtId="0" fontId="0" fillId="0" borderId="38" xfId="0" applyBorder="1" applyAlignment="1">
      <alignment vertical="center"/>
    </xf>
    <xf numFmtId="164" fontId="1" fillId="0" borderId="38" xfId="0" applyNumberFormat="1" applyFont="1" applyBorder="1" applyAlignment="1">
      <alignment vertical="center"/>
    </xf>
    <xf numFmtId="164" fontId="1" fillId="0" borderId="38" xfId="0" applyNumberFormat="1" applyFont="1" applyBorder="1" applyAlignment="1">
      <alignment horizontal="center" vertical="center"/>
    </xf>
    <xf numFmtId="164" fontId="39" fillId="0" borderId="1" xfId="0" applyNumberFormat="1" applyFont="1" applyBorder="1" applyAlignment="1">
      <alignment horizontal="center" vertical="center"/>
    </xf>
    <xf numFmtId="0" fontId="0" fillId="0" borderId="0" xfId="0" applyBorder="1" applyAlignment="1">
      <alignment horizontal="center" vertical="center"/>
    </xf>
    <xf numFmtId="0" fontId="20" fillId="0" borderId="5" xfId="0" applyFont="1" applyBorder="1" applyAlignment="1">
      <alignment horizontal="right" vertical="center"/>
    </xf>
    <xf numFmtId="0" fontId="40" fillId="0" borderId="9" xfId="0" applyFont="1" applyBorder="1" applyAlignment="1">
      <alignment horizontal="center" vertical="center"/>
    </xf>
    <xf numFmtId="164" fontId="24" fillId="0" borderId="9" xfId="0" applyNumberFormat="1" applyFont="1" applyFill="1" applyBorder="1" applyAlignment="1" applyProtection="1">
      <alignment horizontal="right" vertical="center" wrapText="1"/>
      <protection locked="0"/>
    </xf>
    <xf numFmtId="0" fontId="20" fillId="0" borderId="16" xfId="0" applyFont="1" applyBorder="1" applyAlignment="1">
      <alignment vertical="top"/>
    </xf>
    <xf numFmtId="2" fontId="29" fillId="0" borderId="5" xfId="0" applyNumberFormat="1" applyFont="1" applyBorder="1" applyAlignment="1">
      <alignment horizontal="left" vertical="center"/>
    </xf>
    <xf numFmtId="0" fontId="21" fillId="0" borderId="5" xfId="0" applyFont="1" applyBorder="1" applyAlignment="1">
      <alignment horizontal="left" vertical="center"/>
    </xf>
    <xf numFmtId="165" fontId="22" fillId="2" borderId="1" xfId="0" applyNumberFormat="1" applyFont="1" applyFill="1" applyBorder="1" applyAlignment="1">
      <alignment horizontal="center" vertical="center" wrapText="1"/>
    </xf>
    <xf numFmtId="0" fontId="23" fillId="2" borderId="14" xfId="0" applyFont="1" applyFill="1" applyBorder="1" applyAlignment="1">
      <alignment horizontal="center" vertical="center" wrapText="1"/>
    </xf>
    <xf numFmtId="0" fontId="23" fillId="2" borderId="15" xfId="0" applyFont="1" applyFill="1" applyBorder="1" applyAlignment="1">
      <alignment horizontal="center" vertical="center" wrapText="1"/>
    </xf>
    <xf numFmtId="0" fontId="20" fillId="0" borderId="0" xfId="0" applyFont="1" applyBorder="1" applyAlignment="1">
      <alignment horizontal="left" vertical="center"/>
    </xf>
    <xf numFmtId="0" fontId="20" fillId="0" borderId="0" xfId="0" applyFont="1" applyBorder="1" applyAlignment="1">
      <alignment horizontal="left" vertical="center" wrapText="1"/>
    </xf>
    <xf numFmtId="0" fontId="23" fillId="2" borderId="1" xfId="0" applyFont="1" applyFill="1" applyBorder="1" applyAlignment="1">
      <alignment horizontal="center" vertical="center" wrapText="1"/>
    </xf>
    <xf numFmtId="0" fontId="20" fillId="0" borderId="16" xfId="0" applyFont="1" applyBorder="1" applyAlignment="1">
      <alignment horizontal="left" vertical="top" wrapText="1"/>
    </xf>
    <xf numFmtId="0" fontId="20" fillId="0" borderId="17" xfId="0" applyFont="1" applyBorder="1" applyAlignment="1">
      <alignment horizontal="left" vertical="top" wrapText="1"/>
    </xf>
    <xf numFmtId="0" fontId="20" fillId="0" borderId="18" xfId="0" applyFont="1" applyBorder="1" applyAlignment="1">
      <alignment horizontal="left" vertical="top" wrapText="1"/>
    </xf>
    <xf numFmtId="0" fontId="20" fillId="0" borderId="2" xfId="0" applyFont="1" applyFill="1" applyBorder="1" applyAlignment="1">
      <alignment horizontal="left" vertical="center"/>
    </xf>
    <xf numFmtId="0" fontId="20" fillId="0" borderId="3" xfId="0" applyFont="1" applyFill="1" applyBorder="1" applyAlignment="1">
      <alignment horizontal="left" vertical="center"/>
    </xf>
    <xf numFmtId="0" fontId="20" fillId="0" borderId="4" xfId="0" applyFont="1" applyFill="1" applyBorder="1" applyAlignment="1">
      <alignment horizontal="left" vertical="center"/>
    </xf>
    <xf numFmtId="0" fontId="20" fillId="0" borderId="2" xfId="0" applyFont="1" applyBorder="1" applyAlignment="1">
      <alignment horizontal="left" vertical="center"/>
    </xf>
    <xf numFmtId="0" fontId="20" fillId="0" borderId="3" xfId="0" applyFont="1" applyBorder="1" applyAlignment="1">
      <alignment horizontal="left" vertical="center"/>
    </xf>
    <xf numFmtId="0" fontId="20" fillId="0" borderId="4" xfId="0" applyFont="1" applyBorder="1" applyAlignment="1">
      <alignment horizontal="left" vertical="center"/>
    </xf>
    <xf numFmtId="0" fontId="20" fillId="0" borderId="2" xfId="0" applyFont="1" applyBorder="1" applyAlignment="1">
      <alignment horizontal="left" wrapText="1"/>
    </xf>
    <xf numFmtId="0" fontId="20" fillId="0" borderId="3" xfId="0" applyFont="1" applyBorder="1" applyAlignment="1">
      <alignment horizontal="left" wrapText="1"/>
    </xf>
    <xf numFmtId="0" fontId="20" fillId="0" borderId="4" xfId="0" applyFont="1" applyBorder="1" applyAlignment="1">
      <alignment horizontal="left" wrapText="1"/>
    </xf>
    <xf numFmtId="0" fontId="24" fillId="4" borderId="5" xfId="0" applyFont="1" applyFill="1" applyBorder="1" applyAlignment="1" applyProtection="1">
      <alignment horizontal="right" vertical="center" wrapText="1"/>
      <protection locked="0"/>
    </xf>
    <xf numFmtId="0" fontId="24" fillId="4" borderId="7" xfId="0" applyFont="1" applyFill="1" applyBorder="1" applyAlignment="1" applyProtection="1">
      <alignment horizontal="right" vertical="center" wrapText="1"/>
      <protection locked="0"/>
    </xf>
    <xf numFmtId="0" fontId="20" fillId="0" borderId="2" xfId="0" applyFont="1" applyBorder="1" applyAlignment="1">
      <alignment horizontal="left" vertical="center" wrapText="1"/>
    </xf>
    <xf numFmtId="0" fontId="20" fillId="0" borderId="3" xfId="0" applyFont="1" applyBorder="1" applyAlignment="1">
      <alignment horizontal="left" vertical="center" wrapText="1"/>
    </xf>
    <xf numFmtId="0" fontId="20" fillId="0" borderId="4" xfId="0" applyFont="1" applyBorder="1" applyAlignment="1">
      <alignment horizontal="left" vertical="center" wrapText="1"/>
    </xf>
    <xf numFmtId="0" fontId="23" fillId="4" borderId="5" xfId="0" applyFont="1" applyFill="1" applyBorder="1" applyAlignment="1" applyProtection="1">
      <alignment horizontal="right" vertical="center" wrapText="1"/>
      <protection locked="0"/>
    </xf>
    <xf numFmtId="0" fontId="23" fillId="4" borderId="7" xfId="0" applyFont="1" applyFill="1" applyBorder="1" applyAlignment="1" applyProtection="1">
      <alignment horizontal="right" vertical="center" wrapText="1"/>
      <protection locked="0"/>
    </xf>
    <xf numFmtId="0" fontId="0" fillId="0" borderId="2" xfId="0" applyFont="1" applyBorder="1" applyAlignment="1">
      <alignment vertical="center"/>
    </xf>
    <xf numFmtId="0" fontId="0" fillId="0" borderId="3" xfId="0" applyFont="1" applyBorder="1" applyAlignment="1">
      <alignment vertical="center"/>
    </xf>
    <xf numFmtId="0" fontId="0" fillId="0" borderId="4" xfId="0" applyFont="1" applyBorder="1" applyAlignment="1">
      <alignment vertical="center"/>
    </xf>
    <xf numFmtId="0" fontId="0" fillId="0" borderId="2" xfId="0" applyFont="1" applyBorder="1" applyAlignment="1">
      <alignment horizontal="left" vertical="center"/>
    </xf>
    <xf numFmtId="0" fontId="0" fillId="0" borderId="3" xfId="0" applyFont="1" applyBorder="1" applyAlignment="1">
      <alignment horizontal="left" vertical="center"/>
    </xf>
    <xf numFmtId="0" fontId="0" fillId="0" borderId="4"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vertical="center"/>
    </xf>
    <xf numFmtId="0" fontId="1" fillId="0" borderId="4" xfId="0" applyFont="1" applyBorder="1" applyAlignment="1">
      <alignment vertical="center"/>
    </xf>
    <xf numFmtId="165" fontId="13" fillId="2" borderId="1" xfId="0" applyNumberFormat="1" applyFont="1" applyFill="1" applyBorder="1" applyAlignment="1" applyProtection="1">
      <alignment horizontal="center" vertical="center" wrapText="1"/>
      <protection hidden="1"/>
    </xf>
    <xf numFmtId="0" fontId="13" fillId="2" borderId="2"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0" fillId="0" borderId="2" xfId="0" applyFont="1" applyBorder="1" applyAlignment="1">
      <alignment horizontal="left" vertical="center" wrapText="1"/>
    </xf>
    <xf numFmtId="0" fontId="0" fillId="0" borderId="4" xfId="0" applyFont="1" applyBorder="1" applyAlignment="1">
      <alignment horizontal="left" vertical="center" wrapText="1"/>
    </xf>
    <xf numFmtId="0" fontId="13" fillId="2" borderId="1" xfId="0" applyFont="1" applyFill="1" applyBorder="1" applyAlignment="1">
      <alignment horizontal="center" vertical="center" wrapText="1"/>
    </xf>
    <xf numFmtId="0" fontId="13" fillId="2" borderId="1" xfId="0" applyFont="1" applyFill="1" applyBorder="1" applyAlignment="1" applyProtection="1">
      <alignment horizontal="center" vertical="center" wrapText="1"/>
      <protection hidden="1"/>
    </xf>
    <xf numFmtId="0" fontId="0" fillId="0" borderId="2" xfId="0" applyFont="1" applyBorder="1" applyAlignment="1">
      <alignment vertical="center" wrapText="1"/>
    </xf>
    <xf numFmtId="0" fontId="0" fillId="0" borderId="3" xfId="0" applyFont="1" applyBorder="1" applyAlignment="1">
      <alignment vertical="center" wrapText="1"/>
    </xf>
    <xf numFmtId="0" fontId="0" fillId="0" borderId="4" xfId="0" applyFont="1" applyBorder="1" applyAlignment="1">
      <alignment vertical="center" wrapText="1"/>
    </xf>
    <xf numFmtId="0" fontId="0" fillId="0" borderId="2" xfId="0" applyFill="1" applyBorder="1" applyAlignment="1">
      <alignment horizontal="left" vertical="center" wrapText="1"/>
    </xf>
    <xf numFmtId="0" fontId="0" fillId="0" borderId="4" xfId="0" applyFill="1" applyBorder="1" applyAlignment="1">
      <alignment horizontal="left" vertical="center" wrapText="1"/>
    </xf>
    <xf numFmtId="0" fontId="0" fillId="0" borderId="2" xfId="0" applyFill="1" applyBorder="1" applyAlignment="1">
      <alignment vertical="top" wrapText="1"/>
    </xf>
    <xf numFmtId="0" fontId="0" fillId="0" borderId="3" xfId="0" applyFill="1" applyBorder="1" applyAlignment="1">
      <alignment vertical="top" wrapText="1"/>
    </xf>
    <xf numFmtId="0" fontId="0" fillId="0" borderId="4" xfId="0" applyFill="1" applyBorder="1" applyAlignment="1">
      <alignment vertical="top" wrapText="1"/>
    </xf>
    <xf numFmtId="0" fontId="0" fillId="0" borderId="2" xfId="0" applyFill="1" applyBorder="1" applyAlignment="1">
      <alignment horizontal="left" vertical="top" wrapText="1"/>
    </xf>
    <xf numFmtId="0" fontId="0" fillId="0" borderId="4" xfId="0" applyFill="1" applyBorder="1" applyAlignment="1">
      <alignment horizontal="left" vertical="top" wrapText="1"/>
    </xf>
    <xf numFmtId="0" fontId="0" fillId="0" borderId="2" xfId="0" applyFill="1" applyBorder="1" applyAlignment="1">
      <alignment vertical="top"/>
    </xf>
    <xf numFmtId="0" fontId="0" fillId="0" borderId="3" xfId="0" applyFill="1" applyBorder="1" applyAlignment="1">
      <alignment vertical="top"/>
    </xf>
    <xf numFmtId="0" fontId="0" fillId="0" borderId="4" xfId="0" applyFill="1" applyBorder="1" applyAlignment="1">
      <alignment vertical="top"/>
    </xf>
    <xf numFmtId="0" fontId="0" fillId="0" borderId="2" xfId="0" applyFill="1" applyBorder="1" applyAlignment="1">
      <alignment horizontal="left" vertical="center"/>
    </xf>
    <xf numFmtId="0" fontId="0" fillId="0" borderId="3" xfId="0" applyFill="1" applyBorder="1" applyAlignment="1">
      <alignment horizontal="left" vertical="center"/>
    </xf>
    <xf numFmtId="0" fontId="0" fillId="0" borderId="4" xfId="0" applyFill="1" applyBorder="1" applyAlignment="1">
      <alignment horizontal="left" vertical="center"/>
    </xf>
    <xf numFmtId="0" fontId="0" fillId="0" borderId="2" xfId="0" applyFill="1" applyBorder="1" applyAlignment="1">
      <alignment horizontal="left" vertical="top"/>
    </xf>
    <xf numFmtId="0" fontId="0" fillId="0" borderId="4" xfId="0" applyFill="1" applyBorder="1" applyAlignment="1">
      <alignment horizontal="left" vertical="top"/>
    </xf>
    <xf numFmtId="0" fontId="0" fillId="0" borderId="2" xfId="0" applyFill="1" applyBorder="1" applyAlignment="1">
      <alignment horizontal="left"/>
    </xf>
    <xf numFmtId="0" fontId="0" fillId="0" borderId="3" xfId="0" applyFill="1" applyBorder="1"/>
    <xf numFmtId="0" fontId="0" fillId="0" borderId="4" xfId="0" applyFill="1" applyBorder="1"/>
    <xf numFmtId="0" fontId="2" fillId="0" borderId="2"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1" xfId="0" applyFont="1" applyFill="1" applyBorder="1" applyAlignment="1">
      <alignment horizontal="center" vertical="center" wrapText="1"/>
    </xf>
    <xf numFmtId="165" fontId="2" fillId="0" borderId="1" xfId="0" applyNumberFormat="1" applyFont="1" applyFill="1" applyBorder="1" applyAlignment="1" applyProtection="1">
      <alignment horizontal="center" vertical="center" wrapText="1"/>
      <protection hidden="1"/>
    </xf>
    <xf numFmtId="0" fontId="2" fillId="0" borderId="1" xfId="0" applyFont="1" applyFill="1" applyBorder="1" applyAlignment="1" applyProtection="1">
      <alignment horizontal="center" vertical="center" wrapText="1"/>
      <protection hidden="1"/>
    </xf>
    <xf numFmtId="165" fontId="32" fillId="0" borderId="1" xfId="0" applyNumberFormat="1" applyFont="1" applyFill="1" applyBorder="1" applyAlignment="1" applyProtection="1">
      <alignment horizontal="center" vertical="center" wrapText="1"/>
      <protection locked="0"/>
    </xf>
    <xf numFmtId="165" fontId="34" fillId="2" borderId="1" xfId="0" applyNumberFormat="1" applyFont="1" applyFill="1" applyBorder="1" applyAlignment="1" applyProtection="1">
      <alignment horizontal="center" vertical="center" wrapText="1"/>
      <protection locked="0"/>
    </xf>
    <xf numFmtId="165" fontId="34" fillId="2" borderId="14" xfId="0" applyNumberFormat="1" applyFont="1" applyFill="1" applyBorder="1" applyAlignment="1" applyProtection="1">
      <alignment horizontal="center" vertical="center" wrapText="1"/>
      <protection locked="0"/>
    </xf>
    <xf numFmtId="0" fontId="26" fillId="2" borderId="1" xfId="0" applyFont="1" applyFill="1" applyBorder="1" applyAlignment="1" applyProtection="1">
      <alignment horizontal="center" vertical="center" wrapText="1"/>
      <protection locked="0"/>
    </xf>
    <xf numFmtId="0" fontId="26" fillId="2" borderId="14" xfId="0" applyFont="1" applyFill="1" applyBorder="1" applyAlignment="1" applyProtection="1">
      <alignment horizontal="center" vertical="center" wrapText="1"/>
      <protection locked="0"/>
    </xf>
    <xf numFmtId="2" fontId="34" fillId="2" borderId="1" xfId="0" applyNumberFormat="1" applyFont="1" applyFill="1" applyBorder="1" applyAlignment="1" applyProtection="1">
      <alignment horizontal="center" vertical="center" wrapText="1"/>
      <protection locked="0"/>
    </xf>
    <xf numFmtId="0" fontId="34" fillId="2" borderId="1" xfId="0" applyFont="1" applyFill="1" applyBorder="1" applyAlignment="1" applyProtection="1">
      <alignment horizontal="center" vertical="center" wrapText="1"/>
      <protection locked="0"/>
    </xf>
    <xf numFmtId="0" fontId="34" fillId="2" borderId="14" xfId="0" applyFont="1" applyFill="1" applyBorder="1" applyAlignment="1" applyProtection="1">
      <alignment horizontal="center" vertical="center" wrapText="1"/>
      <protection locked="0"/>
    </xf>
    <xf numFmtId="0" fontId="32" fillId="2" borderId="1" xfId="0" applyFont="1" applyFill="1" applyBorder="1" applyAlignment="1" applyProtection="1">
      <alignment horizontal="center" vertical="center" wrapText="1"/>
      <protection locked="0"/>
    </xf>
    <xf numFmtId="0" fontId="32" fillId="2" borderId="14" xfId="0" applyFont="1" applyFill="1" applyBorder="1" applyAlignment="1" applyProtection="1">
      <alignment horizontal="center" vertical="center" wrapText="1"/>
      <protection locked="0"/>
    </xf>
    <xf numFmtId="0" fontId="29" fillId="0" borderId="1" xfId="0" applyFont="1" applyFill="1" applyBorder="1" applyAlignment="1" applyProtection="1">
      <alignment horizontal="left" wrapText="1"/>
      <protection locked="0"/>
    </xf>
    <xf numFmtId="0" fontId="28" fillId="0" borderId="1" xfId="0" applyFont="1" applyBorder="1" applyAlignment="1" applyProtection="1">
      <alignment horizontal="left" vertical="center" wrapText="1"/>
      <protection locked="0"/>
    </xf>
    <xf numFmtId="0" fontId="29" fillId="0" borderId="1" xfId="0" applyFont="1" applyFill="1" applyBorder="1" applyAlignment="1" applyProtection="1">
      <alignment horizontal="left" vertical="center" wrapText="1"/>
      <protection locked="0"/>
    </xf>
    <xf numFmtId="0" fontId="31" fillId="0" borderId="1" xfId="0" applyFont="1" applyFill="1" applyBorder="1" applyAlignment="1" applyProtection="1">
      <alignment horizontal="left" vertical="center" wrapText="1"/>
      <protection locked="0"/>
    </xf>
    <xf numFmtId="164" fontId="32" fillId="2" borderId="1" xfId="0" applyNumberFormat="1" applyFont="1" applyFill="1" applyBorder="1" applyAlignment="1" applyProtection="1">
      <alignment horizontal="center" vertical="center" wrapText="1"/>
      <protection locked="0"/>
    </xf>
    <xf numFmtId="164" fontId="32" fillId="2" borderId="14" xfId="0" applyNumberFormat="1" applyFont="1" applyFill="1" applyBorder="1" applyAlignment="1" applyProtection="1">
      <alignment horizontal="center" vertical="center" wrapText="1"/>
      <protection locked="0"/>
    </xf>
    <xf numFmtId="164" fontId="34" fillId="2" borderId="1" xfId="0" applyNumberFormat="1" applyFont="1" applyFill="1" applyBorder="1" applyAlignment="1" applyProtection="1">
      <alignment horizontal="center" vertical="center" wrapText="1"/>
      <protection locked="0"/>
    </xf>
    <xf numFmtId="164" fontId="34" fillId="2" borderId="14" xfId="0" applyNumberFormat="1" applyFont="1" applyFill="1" applyBorder="1" applyAlignment="1" applyProtection="1">
      <alignment horizontal="center" vertical="center" wrapText="1"/>
      <protection locked="0"/>
    </xf>
    <xf numFmtId="164" fontId="26" fillId="2" borderId="14" xfId="0" applyNumberFormat="1" applyFont="1" applyFill="1" applyBorder="1" applyAlignment="1" applyProtection="1">
      <alignment horizontal="center" vertical="center" wrapText="1"/>
      <protection locked="0"/>
    </xf>
    <xf numFmtId="164" fontId="26" fillId="2" borderId="19" xfId="0" applyNumberFormat="1" applyFont="1" applyFill="1" applyBorder="1" applyAlignment="1" applyProtection="1">
      <alignment horizontal="center" vertical="center" wrapText="1"/>
      <protection locked="0"/>
    </xf>
    <xf numFmtId="0" fontId="21" fillId="0" borderId="11" xfId="0" applyFont="1" applyBorder="1" applyAlignment="1">
      <alignment horizontal="center" vertical="center"/>
    </xf>
    <xf numFmtId="0" fontId="21" fillId="0" borderId="12" xfId="0" applyFont="1" applyBorder="1" applyAlignment="1">
      <alignment horizontal="center" vertical="center"/>
    </xf>
    <xf numFmtId="0" fontId="21" fillId="0" borderId="27" xfId="0" applyFont="1" applyBorder="1" applyAlignment="1">
      <alignment horizontal="center" vertical="center"/>
    </xf>
    <xf numFmtId="0" fontId="16" fillId="0" borderId="0" xfId="1" applyFont="1" applyFill="1" applyBorder="1" applyAlignment="1">
      <alignment horizontal="left" vertical="center" wrapText="1"/>
    </xf>
    <xf numFmtId="0" fontId="16" fillId="0" borderId="0" xfId="1" applyFont="1" applyFill="1" applyBorder="1" applyAlignment="1">
      <alignment horizontal="center" vertical="center" wrapText="1"/>
    </xf>
    <xf numFmtId="0" fontId="7" fillId="0" borderId="2" xfId="1" applyFont="1" applyBorder="1" applyAlignment="1">
      <alignment horizontal="right" vertical="center" wrapText="1"/>
    </xf>
    <xf numFmtId="0" fontId="7" fillId="0" borderId="3" xfId="1" applyFont="1" applyBorder="1" applyAlignment="1">
      <alignment horizontal="right" vertical="center" wrapText="1"/>
    </xf>
    <xf numFmtId="0" fontId="7" fillId="0" borderId="4" xfId="1" applyFont="1" applyBorder="1" applyAlignment="1">
      <alignment horizontal="right" vertical="center" wrapText="1"/>
    </xf>
    <xf numFmtId="0" fontId="15" fillId="0" borderId="0" xfId="1" applyFont="1" applyFill="1" applyBorder="1" applyAlignment="1">
      <alignment horizontal="justify" vertical="center" wrapText="1"/>
    </xf>
    <xf numFmtId="0" fontId="11" fillId="0" borderId="0" xfId="1" applyFont="1" applyBorder="1" applyAlignment="1">
      <alignment horizontal="center" vertical="center"/>
    </xf>
    <xf numFmtId="0" fontId="19" fillId="0" borderId="0" xfId="1" applyFont="1" applyBorder="1" applyAlignment="1">
      <alignment horizontal="center" vertical="center"/>
    </xf>
    <xf numFmtId="0" fontId="12" fillId="0" borderId="0" xfId="1" applyFont="1" applyBorder="1" applyAlignment="1">
      <alignment horizontal="center" vertical="center"/>
    </xf>
    <xf numFmtId="0" fontId="8" fillId="0" borderId="0" xfId="1" applyFont="1" applyBorder="1" applyAlignment="1">
      <alignment horizontal="left" vertical="center" wrapText="1"/>
    </xf>
    <xf numFmtId="0" fontId="3" fillId="0" borderId="1" xfId="1" applyFont="1" applyFill="1" applyBorder="1" applyAlignment="1">
      <alignment horizontal="center" vertical="center" wrapText="1"/>
    </xf>
    <xf numFmtId="0" fontId="7" fillId="0" borderId="1" xfId="1" applyFont="1" applyFill="1" applyBorder="1" applyAlignment="1">
      <alignment horizontal="center" vertical="center"/>
    </xf>
    <xf numFmtId="0" fontId="0" fillId="0" borderId="31" xfId="0" applyFont="1" applyBorder="1" applyAlignment="1">
      <alignment horizontal="left" vertical="center" wrapText="1"/>
    </xf>
    <xf numFmtId="0" fontId="0" fillId="0" borderId="32" xfId="0" applyFont="1" applyBorder="1" applyAlignment="1">
      <alignment horizontal="left" vertical="center" wrapText="1"/>
    </xf>
    <xf numFmtId="0" fontId="0" fillId="0" borderId="32" xfId="0" applyFont="1" applyBorder="1" applyAlignment="1">
      <alignment vertical="center" wrapText="1"/>
    </xf>
    <xf numFmtId="0" fontId="0" fillId="0" borderId="33" xfId="0" applyFont="1" applyBorder="1" applyAlignment="1">
      <alignment horizontal="left" vertical="center" wrapText="1"/>
    </xf>
    <xf numFmtId="0" fontId="0" fillId="0" borderId="29" xfId="0" applyFont="1" applyBorder="1" applyAlignment="1">
      <alignment horizontal="left" vertical="center" wrapText="1"/>
    </xf>
    <xf numFmtId="0" fontId="0" fillId="0" borderId="29" xfId="0" applyFont="1" applyBorder="1" applyAlignment="1">
      <alignment vertical="center"/>
    </xf>
    <xf numFmtId="0" fontId="0" fillId="0" borderId="29" xfId="0" applyFont="1" applyBorder="1" applyAlignment="1">
      <alignment horizontal="left" vertical="center"/>
    </xf>
    <xf numFmtId="0" fontId="1" fillId="0" borderId="30" xfId="0" applyFont="1" applyBorder="1" applyAlignment="1">
      <alignment horizontal="center" vertical="center"/>
    </xf>
    <xf numFmtId="0" fontId="0" fillId="0" borderId="33" xfId="0" applyFont="1" applyBorder="1" applyAlignment="1">
      <alignment horizontal="left" vertical="center"/>
    </xf>
    <xf numFmtId="0" fontId="1" fillId="0" borderId="29" xfId="0" applyFont="1" applyBorder="1" applyAlignment="1">
      <alignment horizontal="left" vertical="center"/>
    </xf>
    <xf numFmtId="0" fontId="1" fillId="0" borderId="29" xfId="0" applyFont="1" applyBorder="1" applyAlignment="1">
      <alignment vertical="center"/>
    </xf>
  </cellXfs>
  <cellStyles count="2">
    <cellStyle name="Normal" xfId="0" builtinId="0"/>
    <cellStyle name="Normal 2" xfId="1"/>
  </cellStyles>
  <dxfs count="48">
    <dxf>
      <font>
        <color theme="0"/>
      </font>
    </dxf>
    <dxf>
      <font>
        <color theme="0"/>
      </font>
    </dxf>
    <dxf>
      <font>
        <color theme="0"/>
      </font>
      <fill>
        <patternFill patternType="none">
          <bgColor indexed="65"/>
        </patternFill>
      </fill>
    </dxf>
    <dxf>
      <font>
        <condense val="0"/>
        <extend val="0"/>
        <color indexed="9"/>
      </font>
    </dxf>
    <dxf>
      <font>
        <color theme="0"/>
      </font>
    </dxf>
    <dxf>
      <font>
        <color theme="0"/>
      </font>
    </dxf>
    <dxf>
      <font>
        <color theme="0"/>
      </font>
    </dxf>
    <dxf>
      <font>
        <color theme="0"/>
      </font>
    </dxf>
    <dxf>
      <font>
        <color theme="0"/>
      </font>
    </dxf>
    <dxf>
      <font>
        <color theme="0"/>
      </font>
      <fill>
        <patternFill patternType="none">
          <bgColor indexed="65"/>
        </patternFill>
      </fill>
    </dxf>
    <dxf>
      <font>
        <color theme="0"/>
      </font>
    </dxf>
    <dxf>
      <font>
        <color theme="0"/>
      </font>
    </dxf>
    <dxf>
      <font>
        <color theme="0"/>
      </font>
    </dxf>
    <dxf>
      <font>
        <color theme="0"/>
      </font>
    </dxf>
    <dxf>
      <font>
        <color theme="0"/>
      </font>
    </dxf>
    <dxf>
      <font>
        <color theme="0"/>
      </font>
    </dxf>
    <dxf>
      <font>
        <color theme="0"/>
      </font>
      <fill>
        <patternFill patternType="none">
          <bgColor indexed="65"/>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patternType="none">
          <bgColor indexed="65"/>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patternType="none">
          <bgColor indexed="6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31"/>
  <sheetViews>
    <sheetView view="pageBreakPreview" zoomScale="90" zoomScaleSheetLayoutView="90" workbookViewId="0">
      <selection activeCell="C29" sqref="C29"/>
    </sheetView>
  </sheetViews>
  <sheetFormatPr defaultColWidth="9.140625" defaultRowHeight="14.25"/>
  <cols>
    <col min="1" max="1" width="10.140625" style="37" customWidth="1"/>
    <col min="2" max="2" width="7" style="48" customWidth="1"/>
    <col min="3" max="3" width="42.85546875" style="53" customWidth="1"/>
    <col min="4" max="4" width="4.28515625" style="70" bestFit="1" customWidth="1"/>
    <col min="5" max="6" width="9.28515625" style="37" bestFit="1" customWidth="1"/>
    <col min="7" max="7" width="7.7109375" style="37" bestFit="1" customWidth="1"/>
    <col min="8" max="8" width="11.85546875" style="37" customWidth="1"/>
    <col min="9" max="9" width="10.42578125" style="70" customWidth="1"/>
    <col min="10" max="10" width="9.140625" style="37"/>
    <col min="11" max="12" width="9.28515625" style="37" bestFit="1" customWidth="1"/>
    <col min="13" max="13" width="9.7109375" style="37" bestFit="1" customWidth="1"/>
    <col min="14" max="16384" width="9.140625" style="37"/>
  </cols>
  <sheetData>
    <row r="1" spans="1:18" ht="32.25" customHeight="1">
      <c r="A1" s="56" t="s">
        <v>78</v>
      </c>
      <c r="B1" s="304" t="s">
        <v>85</v>
      </c>
      <c r="C1" s="305"/>
      <c r="D1" s="305"/>
      <c r="E1" s="305"/>
      <c r="F1" s="305"/>
      <c r="G1" s="305"/>
      <c r="H1" s="305"/>
      <c r="I1" s="306"/>
    </row>
    <row r="2" spans="1:18" ht="24.75" customHeight="1">
      <c r="A2" s="56" t="s">
        <v>79</v>
      </c>
      <c r="B2" s="298" t="s">
        <v>88</v>
      </c>
      <c r="C2" s="299"/>
      <c r="D2" s="299"/>
      <c r="E2" s="299"/>
      <c r="F2" s="299"/>
      <c r="G2" s="299"/>
      <c r="H2" s="299"/>
      <c r="I2" s="300"/>
    </row>
    <row r="3" spans="1:18" ht="24.75" customHeight="1">
      <c r="A3" s="57" t="s">
        <v>93</v>
      </c>
      <c r="B3" s="298" t="s">
        <v>95</v>
      </c>
      <c r="C3" s="299"/>
      <c r="D3" s="299"/>
      <c r="E3" s="299"/>
      <c r="F3" s="299"/>
      <c r="G3" s="299"/>
      <c r="H3" s="299"/>
      <c r="I3" s="300"/>
    </row>
    <row r="4" spans="1:18" ht="24" customHeight="1">
      <c r="A4" s="57" t="s">
        <v>80</v>
      </c>
      <c r="B4" s="298" t="s">
        <v>90</v>
      </c>
      <c r="C4" s="299"/>
      <c r="D4" s="299"/>
      <c r="E4" s="299"/>
      <c r="F4" s="299"/>
      <c r="G4" s="299"/>
      <c r="H4" s="299"/>
      <c r="I4" s="300"/>
    </row>
    <row r="5" spans="1:18" ht="24.75" customHeight="1">
      <c r="A5" s="57" t="s">
        <v>92</v>
      </c>
      <c r="B5" s="298" t="s">
        <v>91</v>
      </c>
      <c r="C5" s="299"/>
      <c r="D5" s="299"/>
      <c r="E5" s="299"/>
      <c r="F5" s="299"/>
      <c r="G5" s="299"/>
      <c r="H5" s="299"/>
      <c r="I5" s="300"/>
    </row>
    <row r="6" spans="1:18" ht="25.5" customHeight="1">
      <c r="A6" s="57" t="s">
        <v>81</v>
      </c>
      <c r="B6" s="301" t="s">
        <v>111</v>
      </c>
      <c r="C6" s="302">
        <v>1</v>
      </c>
      <c r="D6" s="302"/>
      <c r="E6" s="302"/>
      <c r="F6" s="302"/>
      <c r="G6" s="302"/>
      <c r="H6" s="302"/>
      <c r="I6" s="303"/>
      <c r="L6" s="38"/>
    </row>
    <row r="7" spans="1:18" ht="24.95" customHeight="1">
      <c r="A7" s="289" t="s">
        <v>82</v>
      </c>
      <c r="B7" s="289" t="s">
        <v>15</v>
      </c>
      <c r="C7" s="290" t="s">
        <v>4</v>
      </c>
      <c r="D7" s="294" t="s">
        <v>83</v>
      </c>
      <c r="E7" s="294"/>
      <c r="F7" s="294"/>
      <c r="G7" s="294"/>
      <c r="H7" s="294"/>
      <c r="I7" s="294" t="s">
        <v>9</v>
      </c>
      <c r="J7" s="39"/>
      <c r="K7" s="293"/>
      <c r="L7" s="293"/>
      <c r="M7" s="293"/>
      <c r="N7" s="293"/>
      <c r="O7" s="293"/>
      <c r="P7" s="293"/>
      <c r="Q7" s="293"/>
      <c r="R7" s="293"/>
    </row>
    <row r="8" spans="1:18" ht="31.5" customHeight="1">
      <c r="A8" s="289"/>
      <c r="B8" s="289"/>
      <c r="C8" s="291"/>
      <c r="D8" s="58" t="s">
        <v>96</v>
      </c>
      <c r="E8" s="58" t="s">
        <v>0</v>
      </c>
      <c r="F8" s="58" t="s">
        <v>1</v>
      </c>
      <c r="G8" s="59" t="s">
        <v>2</v>
      </c>
      <c r="H8" s="58" t="s">
        <v>84</v>
      </c>
      <c r="I8" s="294"/>
      <c r="J8" s="39"/>
      <c r="K8" s="292"/>
      <c r="L8" s="292"/>
      <c r="M8" s="292"/>
      <c r="N8" s="292"/>
      <c r="O8" s="292"/>
      <c r="P8" s="292"/>
      <c r="Q8" s="292"/>
      <c r="R8" s="292"/>
    </row>
    <row r="9" spans="1:18" ht="32.25" customHeight="1">
      <c r="A9" s="73"/>
      <c r="B9" s="71"/>
      <c r="C9" s="295"/>
      <c r="D9" s="296"/>
      <c r="E9" s="296"/>
      <c r="F9" s="296"/>
      <c r="G9" s="296"/>
      <c r="H9" s="296"/>
      <c r="I9" s="297"/>
      <c r="J9" s="39"/>
      <c r="K9" s="292"/>
      <c r="L9" s="292"/>
      <c r="M9" s="292"/>
      <c r="N9" s="292"/>
      <c r="O9" s="292"/>
      <c r="P9" s="292"/>
      <c r="Q9" s="292"/>
      <c r="R9" s="292"/>
    </row>
    <row r="10" spans="1:18" ht="22.5" customHeight="1">
      <c r="A10" s="73"/>
      <c r="B10" s="71"/>
      <c r="C10" s="78"/>
      <c r="D10" s="54"/>
      <c r="E10" s="40"/>
      <c r="F10" s="40"/>
      <c r="G10" s="40"/>
      <c r="H10" s="41"/>
      <c r="I10" s="55"/>
      <c r="J10" s="39"/>
    </row>
    <row r="11" spans="1:18" ht="22.5" customHeight="1">
      <c r="A11" s="73"/>
      <c r="B11" s="71"/>
      <c r="C11" s="78"/>
      <c r="D11" s="54"/>
      <c r="E11" s="40"/>
      <c r="F11" s="40"/>
      <c r="G11" s="40"/>
      <c r="H11" s="41"/>
      <c r="I11" s="55"/>
      <c r="J11" s="39"/>
    </row>
    <row r="12" spans="1:18" ht="22.5" customHeight="1">
      <c r="A12" s="73"/>
      <c r="B12" s="71"/>
      <c r="C12" s="78"/>
      <c r="D12" s="54"/>
      <c r="E12" s="40"/>
      <c r="F12" s="40"/>
      <c r="G12" s="40"/>
      <c r="H12" s="41"/>
      <c r="I12" s="55"/>
      <c r="J12" s="39"/>
    </row>
    <row r="13" spans="1:18" ht="22.5" customHeight="1">
      <c r="A13" s="73"/>
      <c r="B13" s="71"/>
      <c r="C13" s="78"/>
      <c r="D13" s="54"/>
      <c r="E13" s="40"/>
      <c r="F13" s="40"/>
      <c r="G13" s="40"/>
      <c r="H13" s="41"/>
      <c r="I13" s="55"/>
      <c r="J13" s="39"/>
    </row>
    <row r="14" spans="1:18" ht="22.5" customHeight="1">
      <c r="A14" s="73"/>
      <c r="B14" s="71"/>
      <c r="C14" s="78"/>
      <c r="D14" s="54"/>
      <c r="E14" s="40"/>
      <c r="F14" s="40"/>
      <c r="G14" s="40"/>
      <c r="H14" s="41"/>
      <c r="I14" s="55"/>
      <c r="J14" s="39"/>
    </row>
    <row r="15" spans="1:18" ht="22.5" customHeight="1">
      <c r="A15" s="73"/>
      <c r="B15" s="71"/>
      <c r="C15" s="78"/>
      <c r="D15" s="54"/>
      <c r="E15" s="40"/>
      <c r="F15" s="40"/>
      <c r="G15" s="40"/>
      <c r="H15" s="41"/>
      <c r="I15" s="55"/>
      <c r="J15" s="39"/>
    </row>
    <row r="16" spans="1:18" ht="22.5" customHeight="1">
      <c r="A16" s="73"/>
      <c r="B16" s="71"/>
      <c r="C16" s="78"/>
      <c r="D16" s="54"/>
      <c r="E16" s="40"/>
      <c r="F16" s="40"/>
      <c r="G16" s="40"/>
      <c r="H16" s="41"/>
      <c r="I16" s="55"/>
      <c r="J16" s="39"/>
    </row>
    <row r="17" spans="1:10" ht="22.5" customHeight="1">
      <c r="A17" s="73"/>
      <c r="B17" s="71"/>
      <c r="C17" s="78"/>
      <c r="D17" s="54"/>
      <c r="E17" s="40"/>
      <c r="F17" s="40"/>
      <c r="G17" s="40"/>
      <c r="H17" s="41"/>
      <c r="I17" s="55"/>
      <c r="J17" s="39"/>
    </row>
    <row r="18" spans="1:10" ht="22.5" customHeight="1">
      <c r="A18" s="73"/>
      <c r="B18" s="71"/>
      <c r="C18" s="78"/>
      <c r="D18" s="54"/>
      <c r="E18" s="40"/>
      <c r="F18" s="40"/>
      <c r="G18" s="40"/>
      <c r="H18" s="41"/>
      <c r="I18" s="55"/>
      <c r="J18" s="39"/>
    </row>
    <row r="19" spans="1:10" ht="22.5" customHeight="1">
      <c r="A19" s="73"/>
      <c r="B19" s="71"/>
      <c r="C19" s="78"/>
      <c r="D19" s="54"/>
      <c r="E19" s="40"/>
      <c r="F19" s="40"/>
      <c r="G19" s="40"/>
      <c r="H19" s="41"/>
      <c r="I19" s="55"/>
      <c r="J19" s="39"/>
    </row>
    <row r="20" spans="1:10" ht="22.5" customHeight="1">
      <c r="A20" s="73"/>
      <c r="B20" s="71"/>
      <c r="C20" s="78"/>
      <c r="D20" s="54"/>
      <c r="E20" s="40"/>
      <c r="F20" s="40"/>
      <c r="G20" s="40"/>
      <c r="H20" s="41"/>
      <c r="I20" s="55"/>
      <c r="J20" s="39"/>
    </row>
    <row r="21" spans="1:10" ht="22.5" customHeight="1">
      <c r="A21" s="73"/>
      <c r="B21" s="71"/>
      <c r="C21" s="78"/>
      <c r="D21" s="54"/>
      <c r="E21" s="40"/>
      <c r="F21" s="40"/>
      <c r="G21" s="40"/>
      <c r="H21" s="41"/>
      <c r="I21" s="55"/>
      <c r="J21" s="39"/>
    </row>
    <row r="22" spans="1:10" ht="22.5" customHeight="1">
      <c r="A22" s="73"/>
      <c r="B22" s="71"/>
      <c r="C22" s="78"/>
      <c r="D22" s="54"/>
      <c r="E22" s="40"/>
      <c r="F22" s="40"/>
      <c r="G22" s="40"/>
      <c r="H22" s="41"/>
      <c r="I22" s="55"/>
      <c r="J22" s="39"/>
    </row>
    <row r="23" spans="1:10" ht="22.5" customHeight="1">
      <c r="A23" s="73"/>
      <c r="B23" s="71"/>
      <c r="C23" s="78"/>
      <c r="D23" s="54"/>
      <c r="E23" s="40"/>
      <c r="F23" s="40"/>
      <c r="G23" s="40"/>
      <c r="H23" s="41"/>
      <c r="I23" s="55"/>
      <c r="J23" s="39"/>
    </row>
    <row r="24" spans="1:10" ht="22.5" customHeight="1">
      <c r="A24" s="73"/>
      <c r="B24" s="71"/>
      <c r="C24" s="78"/>
      <c r="D24" s="54"/>
      <c r="E24" s="40"/>
      <c r="F24" s="40"/>
      <c r="G24" s="40"/>
      <c r="H24" s="41"/>
      <c r="I24" s="55"/>
      <c r="J24" s="39"/>
    </row>
    <row r="25" spans="1:10" ht="22.5" customHeight="1">
      <c r="A25" s="73"/>
      <c r="B25" s="71"/>
      <c r="C25" s="78"/>
      <c r="D25" s="54"/>
      <c r="E25" s="40"/>
      <c r="F25" s="40"/>
      <c r="G25" s="40"/>
      <c r="H25" s="41"/>
      <c r="I25" s="55"/>
      <c r="J25" s="39"/>
    </row>
    <row r="26" spans="1:10" ht="22.5" customHeight="1">
      <c r="A26" s="73"/>
      <c r="B26" s="71"/>
      <c r="C26" s="78"/>
      <c r="D26" s="54"/>
      <c r="E26" s="40"/>
      <c r="F26" s="40"/>
      <c r="G26" s="40"/>
      <c r="H26" s="41"/>
      <c r="I26" s="55"/>
      <c r="J26" s="39"/>
    </row>
    <row r="27" spans="1:10" ht="22.5" customHeight="1">
      <c r="A27" s="73"/>
      <c r="B27" s="71"/>
      <c r="C27" s="78"/>
      <c r="D27" s="54"/>
      <c r="E27" s="40"/>
      <c r="F27" s="40"/>
      <c r="G27" s="40"/>
      <c r="H27" s="41"/>
      <c r="I27" s="55"/>
      <c r="J27" s="39"/>
    </row>
    <row r="28" spans="1:10" ht="22.5" customHeight="1">
      <c r="A28" s="73"/>
      <c r="B28" s="71"/>
      <c r="C28" s="78"/>
      <c r="D28" s="54"/>
      <c r="E28" s="40"/>
      <c r="F28" s="40"/>
      <c r="G28" s="40"/>
      <c r="H28" s="41"/>
      <c r="I28" s="55"/>
      <c r="J28" s="39"/>
    </row>
    <row r="29" spans="1:10" ht="22.5" customHeight="1">
      <c r="A29" s="73"/>
      <c r="B29" s="71"/>
      <c r="C29" s="78"/>
      <c r="D29" s="54"/>
      <c r="E29" s="40"/>
      <c r="F29" s="40"/>
      <c r="G29" s="40"/>
      <c r="H29" s="41"/>
      <c r="I29" s="55"/>
      <c r="J29" s="39"/>
    </row>
    <row r="30" spans="1:10" ht="22.5" customHeight="1">
      <c r="A30" s="73"/>
      <c r="B30" s="71"/>
      <c r="C30" s="78"/>
      <c r="D30" s="54"/>
      <c r="E30" s="40"/>
      <c r="F30" s="40"/>
      <c r="G30" s="40"/>
      <c r="H30" s="41"/>
      <c r="I30" s="55"/>
      <c r="J30" s="39"/>
    </row>
    <row r="31" spans="1:10" ht="22.5" customHeight="1">
      <c r="A31" s="73"/>
      <c r="B31" s="71"/>
      <c r="C31" s="78"/>
      <c r="D31" s="54"/>
      <c r="E31" s="40"/>
      <c r="F31" s="40"/>
      <c r="G31" s="40"/>
      <c r="H31" s="41"/>
      <c r="I31" s="55"/>
      <c r="J31" s="39"/>
    </row>
    <row r="32" spans="1:10" ht="22.5" customHeight="1">
      <c r="A32" s="73"/>
      <c r="B32" s="71"/>
      <c r="C32" s="78"/>
      <c r="D32" s="54"/>
      <c r="E32" s="40"/>
      <c r="F32" s="40"/>
      <c r="G32" s="40"/>
      <c r="H32" s="41"/>
      <c r="I32" s="55"/>
      <c r="J32" s="39"/>
    </row>
    <row r="33" spans="1:10" ht="22.5" customHeight="1">
      <c r="A33" s="73"/>
      <c r="B33" s="71"/>
      <c r="C33" s="78"/>
      <c r="D33" s="54"/>
      <c r="E33" s="40"/>
      <c r="F33" s="40"/>
      <c r="G33" s="40"/>
      <c r="H33" s="41"/>
      <c r="I33" s="55"/>
      <c r="J33" s="39"/>
    </row>
    <row r="34" spans="1:10" ht="22.5" customHeight="1">
      <c r="A34" s="73"/>
      <c r="B34" s="71"/>
      <c r="C34" s="78"/>
      <c r="D34" s="54"/>
      <c r="E34" s="40"/>
      <c r="F34" s="40"/>
      <c r="G34" s="40"/>
      <c r="H34" s="41"/>
      <c r="I34" s="55"/>
      <c r="J34" s="39"/>
    </row>
    <row r="35" spans="1:10" ht="22.5" customHeight="1">
      <c r="A35" s="73"/>
      <c r="B35" s="71"/>
      <c r="C35" s="78"/>
      <c r="D35" s="54"/>
      <c r="E35" s="40"/>
      <c r="F35" s="40"/>
      <c r="G35" s="40"/>
      <c r="H35" s="41"/>
      <c r="I35" s="55"/>
      <c r="J35" s="39"/>
    </row>
    <row r="36" spans="1:10" ht="22.5" customHeight="1">
      <c r="A36" s="73"/>
      <c r="B36" s="71"/>
      <c r="C36" s="78"/>
      <c r="D36" s="54"/>
      <c r="E36" s="40"/>
      <c r="F36" s="40"/>
      <c r="G36" s="40"/>
      <c r="H36" s="41"/>
      <c r="I36" s="55"/>
      <c r="J36" s="39"/>
    </row>
    <row r="37" spans="1:10" ht="22.5" customHeight="1">
      <c r="A37" s="73"/>
      <c r="B37" s="71"/>
      <c r="C37" s="78"/>
      <c r="D37" s="54"/>
      <c r="E37" s="40"/>
      <c r="F37" s="40"/>
      <c r="G37" s="40"/>
      <c r="H37" s="41"/>
      <c r="I37" s="55"/>
      <c r="J37" s="39"/>
    </row>
    <row r="38" spans="1:10" ht="22.5" customHeight="1">
      <c r="A38" s="73"/>
      <c r="B38" s="71"/>
      <c r="C38" s="78"/>
      <c r="D38" s="54"/>
      <c r="E38" s="40"/>
      <c r="F38" s="40"/>
      <c r="G38" s="40"/>
      <c r="H38" s="41"/>
      <c r="I38" s="55"/>
      <c r="J38" s="39"/>
    </row>
    <row r="39" spans="1:10" ht="22.5" customHeight="1">
      <c r="A39" s="73"/>
      <c r="B39" s="71"/>
      <c r="C39" s="78"/>
      <c r="D39" s="54"/>
      <c r="E39" s="40"/>
      <c r="F39" s="40"/>
      <c r="G39" s="40"/>
      <c r="H39" s="41"/>
      <c r="I39" s="55"/>
      <c r="J39" s="39"/>
    </row>
    <row r="40" spans="1:10" ht="22.5" customHeight="1">
      <c r="A40" s="73"/>
      <c r="B40" s="71"/>
      <c r="C40" s="78"/>
      <c r="D40" s="54"/>
      <c r="E40" s="40"/>
      <c r="F40" s="40"/>
      <c r="G40" s="40"/>
      <c r="H40" s="41"/>
      <c r="I40" s="55"/>
      <c r="J40" s="39"/>
    </row>
    <row r="41" spans="1:10" ht="22.5" customHeight="1">
      <c r="A41" s="73"/>
      <c r="B41" s="71"/>
      <c r="C41" s="78"/>
      <c r="D41" s="54"/>
      <c r="E41" s="40"/>
      <c r="F41" s="40"/>
      <c r="G41" s="40"/>
      <c r="H41" s="41"/>
      <c r="I41" s="55"/>
      <c r="J41" s="39"/>
    </row>
    <row r="42" spans="1:10" ht="22.5" customHeight="1">
      <c r="A42" s="73"/>
      <c r="B42" s="71"/>
      <c r="C42" s="78"/>
      <c r="D42" s="54"/>
      <c r="E42" s="40"/>
      <c r="F42" s="40"/>
      <c r="G42" s="40"/>
      <c r="H42" s="41"/>
      <c r="I42" s="55"/>
      <c r="J42" s="39"/>
    </row>
    <row r="43" spans="1:10" ht="22.5" customHeight="1">
      <c r="A43" s="73"/>
      <c r="B43" s="71"/>
      <c r="C43" s="78"/>
      <c r="D43" s="54"/>
      <c r="E43" s="40"/>
      <c r="F43" s="40"/>
      <c r="G43" s="40"/>
      <c r="H43" s="41"/>
      <c r="I43" s="55"/>
      <c r="J43" s="39"/>
    </row>
    <row r="44" spans="1:10" ht="22.5" customHeight="1">
      <c r="A44" s="73"/>
      <c r="B44" s="71"/>
      <c r="C44" s="78"/>
      <c r="D44" s="54"/>
      <c r="E44" s="40"/>
      <c r="F44" s="40"/>
      <c r="G44" s="40"/>
      <c r="H44" s="41"/>
      <c r="I44" s="55"/>
      <c r="J44" s="39"/>
    </row>
    <row r="45" spans="1:10" ht="22.5" customHeight="1">
      <c r="A45" s="73"/>
      <c r="B45" s="71"/>
      <c r="C45" s="78"/>
      <c r="D45" s="54"/>
      <c r="E45" s="40"/>
      <c r="F45" s="40"/>
      <c r="G45" s="40"/>
      <c r="H45" s="41"/>
      <c r="I45" s="55"/>
      <c r="J45" s="39"/>
    </row>
    <row r="46" spans="1:10" ht="22.5" customHeight="1">
      <c r="A46" s="73"/>
      <c r="B46" s="71"/>
      <c r="C46" s="78"/>
      <c r="D46" s="54"/>
      <c r="E46" s="40"/>
      <c r="F46" s="40"/>
      <c r="G46" s="40"/>
      <c r="H46" s="41"/>
      <c r="I46" s="55"/>
      <c r="J46" s="39"/>
    </row>
    <row r="47" spans="1:10" ht="22.5" customHeight="1">
      <c r="A47" s="73"/>
      <c r="B47" s="71"/>
      <c r="C47" s="78"/>
      <c r="D47" s="54"/>
      <c r="E47" s="40"/>
      <c r="F47" s="40"/>
      <c r="G47" s="40"/>
      <c r="H47" s="41"/>
      <c r="I47" s="55"/>
      <c r="J47" s="39"/>
    </row>
    <row r="48" spans="1:10" ht="22.5" customHeight="1">
      <c r="A48" s="73"/>
      <c r="B48" s="71"/>
      <c r="C48" s="78"/>
      <c r="D48" s="54"/>
      <c r="E48" s="40"/>
      <c r="F48" s="40"/>
      <c r="G48" s="40"/>
      <c r="H48" s="41"/>
      <c r="I48" s="55"/>
      <c r="J48" s="39"/>
    </row>
    <row r="49" spans="1:10" ht="22.5" customHeight="1">
      <c r="A49" s="73"/>
      <c r="B49" s="71"/>
      <c r="C49" s="78"/>
      <c r="D49" s="54"/>
      <c r="E49" s="40"/>
      <c r="F49" s="40"/>
      <c r="G49" s="40"/>
      <c r="H49" s="41"/>
      <c r="I49" s="55"/>
      <c r="J49" s="39"/>
    </row>
    <row r="50" spans="1:10" ht="22.5" customHeight="1">
      <c r="A50" s="73"/>
      <c r="B50" s="71"/>
      <c r="C50" s="78"/>
      <c r="D50" s="54"/>
      <c r="E50" s="40"/>
      <c r="F50" s="40"/>
      <c r="G50" s="40"/>
      <c r="H50" s="41"/>
      <c r="I50" s="55"/>
      <c r="J50" s="39"/>
    </row>
    <row r="51" spans="1:10" ht="22.5" customHeight="1">
      <c r="A51" s="73"/>
      <c r="B51" s="71"/>
      <c r="C51" s="78"/>
      <c r="D51" s="54"/>
      <c r="E51" s="40"/>
      <c r="F51" s="40"/>
      <c r="G51" s="40"/>
      <c r="H51" s="41"/>
      <c r="I51" s="55"/>
      <c r="J51" s="39"/>
    </row>
    <row r="52" spans="1:10" ht="22.5" customHeight="1">
      <c r="A52" s="73"/>
      <c r="B52" s="71"/>
      <c r="C52" s="78"/>
      <c r="D52" s="54"/>
      <c r="E52" s="40"/>
      <c r="F52" s="40"/>
      <c r="G52" s="40"/>
      <c r="H52" s="41"/>
      <c r="I52" s="55"/>
      <c r="J52" s="39"/>
    </row>
    <row r="53" spans="1:10" ht="22.5" customHeight="1">
      <c r="A53" s="74"/>
      <c r="B53" s="72"/>
      <c r="C53" s="51"/>
      <c r="D53" s="76"/>
      <c r="E53" s="62"/>
      <c r="F53" s="62"/>
      <c r="G53" s="62"/>
      <c r="H53" s="62"/>
      <c r="I53" s="67"/>
    </row>
    <row r="54" spans="1:10" ht="22.5" customHeight="1">
      <c r="A54" s="74"/>
      <c r="B54" s="72"/>
      <c r="C54" s="51"/>
      <c r="D54" s="76"/>
      <c r="E54" s="62"/>
      <c r="F54" s="62"/>
      <c r="G54" s="62"/>
      <c r="H54" s="62"/>
      <c r="I54" s="67"/>
    </row>
    <row r="55" spans="1:10" ht="22.5" customHeight="1">
      <c r="A55" s="74"/>
      <c r="B55" s="72"/>
      <c r="C55" s="51"/>
      <c r="D55" s="76"/>
      <c r="E55" s="62"/>
      <c r="F55" s="62"/>
      <c r="G55" s="62"/>
      <c r="H55" s="62"/>
      <c r="I55" s="67"/>
    </row>
    <row r="56" spans="1:10" ht="22.5" customHeight="1">
      <c r="A56" s="74"/>
      <c r="B56" s="72"/>
      <c r="C56" s="51"/>
      <c r="D56" s="76"/>
      <c r="E56" s="62"/>
      <c r="F56" s="62"/>
      <c r="G56" s="62"/>
      <c r="H56" s="62"/>
      <c r="I56" s="67"/>
    </row>
    <row r="57" spans="1:10">
      <c r="A57" s="75"/>
      <c r="B57" s="45"/>
      <c r="C57" s="49"/>
      <c r="D57" s="77"/>
      <c r="E57" s="63"/>
      <c r="F57" s="63"/>
      <c r="G57" s="63"/>
      <c r="H57" s="63"/>
      <c r="I57" s="68"/>
    </row>
    <row r="58" spans="1:10">
      <c r="A58" s="75"/>
      <c r="B58" s="45"/>
      <c r="C58" s="49"/>
      <c r="D58" s="77"/>
      <c r="E58" s="63"/>
      <c r="F58" s="63"/>
      <c r="G58" s="63"/>
      <c r="H58" s="63"/>
      <c r="I58" s="68"/>
    </row>
    <row r="59" spans="1:10">
      <c r="A59" s="75"/>
      <c r="B59" s="45"/>
      <c r="C59" s="49"/>
      <c r="D59" s="77"/>
      <c r="E59" s="63"/>
      <c r="F59" s="63"/>
      <c r="G59" s="63"/>
      <c r="H59" s="63"/>
      <c r="I59" s="68"/>
    </row>
    <row r="60" spans="1:10">
      <c r="A60" s="75"/>
      <c r="B60" s="45"/>
      <c r="C60" s="49"/>
      <c r="D60" s="77"/>
      <c r="E60" s="63"/>
      <c r="F60" s="63"/>
      <c r="G60" s="63"/>
      <c r="H60" s="63"/>
      <c r="I60" s="68"/>
    </row>
    <row r="61" spans="1:10">
      <c r="A61" s="75"/>
      <c r="B61" s="45"/>
      <c r="C61" s="49"/>
      <c r="D61" s="77"/>
      <c r="E61" s="63"/>
      <c r="F61" s="63"/>
      <c r="G61" s="63"/>
      <c r="H61" s="63"/>
      <c r="I61" s="68"/>
    </row>
    <row r="62" spans="1:10">
      <c r="A62" s="75"/>
      <c r="B62" s="45"/>
      <c r="C62" s="49"/>
      <c r="D62" s="77"/>
      <c r="E62" s="63"/>
      <c r="F62" s="63"/>
      <c r="G62" s="63"/>
      <c r="H62" s="63"/>
      <c r="I62" s="68"/>
    </row>
    <row r="63" spans="1:10">
      <c r="A63" s="75"/>
      <c r="B63" s="45"/>
      <c r="C63" s="49"/>
      <c r="D63" s="77"/>
      <c r="E63" s="63"/>
      <c r="F63" s="63"/>
      <c r="G63" s="63"/>
      <c r="H63" s="63"/>
      <c r="I63" s="68"/>
    </row>
    <row r="64" spans="1:10">
      <c r="A64" s="75"/>
      <c r="B64" s="45"/>
      <c r="C64" s="49"/>
      <c r="D64" s="77"/>
      <c r="E64" s="63"/>
      <c r="F64" s="63"/>
      <c r="G64" s="63"/>
      <c r="H64" s="63"/>
      <c r="I64" s="68"/>
    </row>
    <row r="65" spans="1:9">
      <c r="A65" s="75"/>
      <c r="B65" s="45"/>
      <c r="C65" s="49"/>
      <c r="D65" s="77"/>
      <c r="E65" s="63"/>
      <c r="F65" s="63"/>
      <c r="G65" s="63"/>
      <c r="H65" s="63"/>
      <c r="I65" s="68"/>
    </row>
    <row r="66" spans="1:9">
      <c r="A66" s="75"/>
      <c r="B66" s="45"/>
      <c r="C66" s="49"/>
      <c r="D66" s="77"/>
      <c r="E66" s="63"/>
      <c r="F66" s="63"/>
      <c r="G66" s="63"/>
      <c r="H66" s="63"/>
      <c r="I66" s="68"/>
    </row>
    <row r="67" spans="1:9">
      <c r="A67" s="75"/>
      <c r="B67" s="45"/>
      <c r="C67" s="49"/>
      <c r="D67" s="77"/>
      <c r="E67" s="63"/>
      <c r="F67" s="63"/>
      <c r="G67" s="63"/>
      <c r="H67" s="63"/>
      <c r="I67" s="68"/>
    </row>
    <row r="68" spans="1:9">
      <c r="A68" s="75"/>
      <c r="B68" s="45"/>
      <c r="C68" s="49"/>
      <c r="D68" s="77"/>
      <c r="E68" s="63"/>
      <c r="F68" s="63"/>
      <c r="G68" s="63"/>
      <c r="H68" s="63"/>
      <c r="I68" s="68"/>
    </row>
    <row r="69" spans="1:9">
      <c r="A69" s="75"/>
      <c r="B69" s="45"/>
      <c r="C69" s="49"/>
      <c r="D69" s="77"/>
      <c r="E69" s="63"/>
      <c r="F69" s="63"/>
      <c r="G69" s="63"/>
      <c r="H69" s="63"/>
      <c r="I69" s="68"/>
    </row>
    <row r="70" spans="1:9">
      <c r="A70" s="75"/>
      <c r="B70" s="45"/>
      <c r="C70" s="49"/>
      <c r="D70" s="77"/>
      <c r="E70" s="63"/>
      <c r="F70" s="63"/>
      <c r="G70" s="63"/>
      <c r="H70" s="63"/>
      <c r="I70" s="68"/>
    </row>
    <row r="71" spans="1:9">
      <c r="A71" s="75"/>
      <c r="B71" s="45"/>
      <c r="C71" s="49"/>
      <c r="D71" s="77"/>
      <c r="E71" s="63"/>
      <c r="F71" s="63"/>
      <c r="G71" s="63"/>
      <c r="H71" s="63"/>
      <c r="I71" s="68"/>
    </row>
    <row r="72" spans="1:9">
      <c r="A72" s="75"/>
      <c r="B72" s="45"/>
      <c r="C72" s="49"/>
      <c r="D72" s="77"/>
      <c r="E72" s="63"/>
      <c r="F72" s="63"/>
      <c r="G72" s="63"/>
      <c r="H72" s="63"/>
      <c r="I72" s="68"/>
    </row>
    <row r="73" spans="1:9">
      <c r="A73" s="75"/>
      <c r="B73" s="45"/>
      <c r="C73" s="49"/>
      <c r="D73" s="77"/>
      <c r="E73" s="63"/>
      <c r="F73" s="63"/>
      <c r="G73" s="63"/>
      <c r="H73" s="63"/>
      <c r="I73" s="68"/>
    </row>
    <row r="74" spans="1:9">
      <c r="A74" s="75"/>
      <c r="B74" s="45"/>
      <c r="C74" s="49"/>
      <c r="D74" s="77"/>
      <c r="E74" s="63"/>
      <c r="F74" s="63"/>
      <c r="G74" s="63"/>
      <c r="H74" s="63"/>
      <c r="I74" s="68"/>
    </row>
    <row r="75" spans="1:9">
      <c r="A75" s="75"/>
      <c r="B75" s="45"/>
      <c r="C75" s="49"/>
      <c r="D75" s="77"/>
      <c r="E75" s="63"/>
      <c r="F75" s="63"/>
      <c r="G75" s="63"/>
      <c r="H75" s="63"/>
      <c r="I75" s="68"/>
    </row>
    <row r="76" spans="1:9">
      <c r="A76" s="75"/>
      <c r="B76" s="45"/>
      <c r="C76" s="49"/>
      <c r="D76" s="77"/>
      <c r="E76" s="63"/>
      <c r="F76" s="63"/>
      <c r="G76" s="63"/>
      <c r="H76" s="63"/>
      <c r="I76" s="68"/>
    </row>
    <row r="77" spans="1:9">
      <c r="A77" s="75"/>
      <c r="B77" s="45"/>
      <c r="C77" s="49"/>
      <c r="D77" s="77"/>
      <c r="E77" s="63"/>
      <c r="F77" s="63"/>
      <c r="G77" s="63"/>
      <c r="H77" s="63"/>
      <c r="I77" s="68"/>
    </row>
    <row r="78" spans="1:9">
      <c r="A78" s="75"/>
      <c r="B78" s="45"/>
      <c r="C78" s="49"/>
      <c r="D78" s="77"/>
      <c r="E78" s="63"/>
      <c r="F78" s="63"/>
      <c r="G78" s="63"/>
      <c r="H78" s="63"/>
      <c r="I78" s="68"/>
    </row>
    <row r="79" spans="1:9">
      <c r="A79" s="75"/>
      <c r="B79" s="45"/>
      <c r="C79" s="49"/>
      <c r="D79" s="77"/>
      <c r="E79" s="63"/>
      <c r="F79" s="63"/>
      <c r="G79" s="63"/>
      <c r="H79" s="63"/>
      <c r="I79" s="68"/>
    </row>
    <row r="80" spans="1:9">
      <c r="A80" s="75"/>
      <c r="B80" s="45"/>
      <c r="C80" s="49"/>
      <c r="D80" s="77"/>
      <c r="E80" s="63"/>
      <c r="F80" s="63"/>
      <c r="G80" s="63"/>
      <c r="H80" s="63"/>
      <c r="I80" s="68"/>
    </row>
    <row r="81" spans="1:9">
      <c r="A81" s="75"/>
      <c r="B81" s="45"/>
      <c r="C81" s="49"/>
      <c r="D81" s="77"/>
      <c r="E81" s="63"/>
      <c r="F81" s="63"/>
      <c r="G81" s="63"/>
      <c r="H81" s="63"/>
      <c r="I81" s="68"/>
    </row>
    <row r="82" spans="1:9">
      <c r="A82" s="75"/>
      <c r="B82" s="45"/>
      <c r="C82" s="49"/>
      <c r="D82" s="77"/>
      <c r="E82" s="63"/>
      <c r="F82" s="63"/>
      <c r="G82" s="63"/>
      <c r="H82" s="63"/>
      <c r="I82" s="68"/>
    </row>
    <row r="83" spans="1:9">
      <c r="A83" s="75"/>
      <c r="B83" s="45"/>
      <c r="C83" s="49"/>
      <c r="D83" s="77"/>
      <c r="E83" s="63"/>
      <c r="F83" s="63"/>
      <c r="G83" s="63"/>
      <c r="H83" s="63"/>
      <c r="I83" s="68"/>
    </row>
    <row r="84" spans="1:9">
      <c r="A84" s="44"/>
      <c r="B84" s="45"/>
      <c r="C84" s="49"/>
      <c r="D84" s="77"/>
      <c r="E84" s="63"/>
      <c r="F84" s="63"/>
      <c r="G84" s="63"/>
      <c r="H84" s="63"/>
      <c r="I84" s="68"/>
    </row>
    <row r="85" spans="1:9">
      <c r="A85" s="44"/>
      <c r="B85" s="45"/>
      <c r="C85" s="49"/>
      <c r="D85" s="77"/>
      <c r="E85" s="63"/>
      <c r="F85" s="63"/>
      <c r="G85" s="63"/>
      <c r="H85" s="63"/>
      <c r="I85" s="68"/>
    </row>
    <row r="86" spans="1:9">
      <c r="A86" s="44"/>
      <c r="B86" s="45"/>
      <c r="C86" s="49"/>
      <c r="D86" s="77"/>
      <c r="E86" s="63"/>
      <c r="F86" s="63"/>
      <c r="G86" s="63"/>
      <c r="H86" s="63"/>
      <c r="I86" s="68"/>
    </row>
    <row r="87" spans="1:9">
      <c r="A87" s="44"/>
      <c r="B87" s="45"/>
      <c r="C87" s="49"/>
      <c r="D87" s="77"/>
      <c r="E87" s="63"/>
      <c r="F87" s="63"/>
      <c r="G87" s="63"/>
      <c r="H87" s="63"/>
      <c r="I87" s="68"/>
    </row>
    <row r="88" spans="1:9">
      <c r="A88" s="44"/>
      <c r="B88" s="45"/>
      <c r="C88" s="49"/>
      <c r="D88" s="77"/>
      <c r="E88" s="63"/>
      <c r="F88" s="63"/>
      <c r="G88" s="63"/>
      <c r="H88" s="63"/>
      <c r="I88" s="68"/>
    </row>
    <row r="89" spans="1:9">
      <c r="A89" s="44"/>
      <c r="B89" s="45"/>
      <c r="C89" s="49"/>
      <c r="D89" s="77"/>
      <c r="E89" s="63"/>
      <c r="F89" s="63"/>
      <c r="G89" s="63"/>
      <c r="H89" s="63"/>
      <c r="I89" s="68"/>
    </row>
    <row r="90" spans="1:9">
      <c r="A90" s="44"/>
      <c r="B90" s="45"/>
      <c r="C90" s="49"/>
      <c r="D90" s="77"/>
      <c r="E90" s="63"/>
      <c r="F90" s="63"/>
      <c r="G90" s="63"/>
      <c r="H90" s="63"/>
      <c r="I90" s="68"/>
    </row>
    <row r="91" spans="1:9">
      <c r="A91" s="46"/>
      <c r="B91" s="47"/>
      <c r="C91" s="52"/>
      <c r="D91" s="69"/>
      <c r="E91" s="46"/>
      <c r="F91" s="46"/>
      <c r="G91" s="46"/>
      <c r="H91" s="46"/>
      <c r="I91" s="69"/>
    </row>
    <row r="92" spans="1:9">
      <c r="A92" s="46"/>
      <c r="B92" s="47"/>
      <c r="C92" s="52"/>
      <c r="D92" s="69"/>
      <c r="E92" s="46"/>
      <c r="F92" s="46"/>
      <c r="G92" s="46"/>
      <c r="H92" s="46"/>
      <c r="I92" s="69"/>
    </row>
    <row r="93" spans="1:9">
      <c r="A93" s="46"/>
      <c r="B93" s="47"/>
      <c r="C93" s="52"/>
      <c r="D93" s="69"/>
      <c r="E93" s="46"/>
      <c r="F93" s="46"/>
      <c r="G93" s="46"/>
      <c r="H93" s="46"/>
      <c r="I93" s="69"/>
    </row>
    <row r="94" spans="1:9">
      <c r="A94" s="46"/>
      <c r="B94" s="47"/>
      <c r="C94" s="52"/>
      <c r="D94" s="69"/>
      <c r="E94" s="46"/>
      <c r="F94" s="46"/>
      <c r="G94" s="46"/>
      <c r="H94" s="46"/>
      <c r="I94" s="69"/>
    </row>
    <row r="95" spans="1:9">
      <c r="A95" s="46"/>
      <c r="B95" s="47"/>
      <c r="C95" s="52"/>
      <c r="D95" s="69"/>
      <c r="E95" s="46"/>
      <c r="F95" s="46"/>
      <c r="G95" s="46"/>
      <c r="H95" s="46"/>
      <c r="I95" s="69"/>
    </row>
    <row r="96" spans="1:9">
      <c r="A96" s="46"/>
      <c r="B96" s="47"/>
      <c r="C96" s="52"/>
      <c r="D96" s="69"/>
      <c r="E96" s="46"/>
      <c r="F96" s="46"/>
      <c r="G96" s="46"/>
      <c r="H96" s="46"/>
      <c r="I96" s="69"/>
    </row>
    <row r="97" spans="1:9">
      <c r="A97" s="46"/>
      <c r="B97" s="47"/>
      <c r="C97" s="52"/>
      <c r="D97" s="69"/>
      <c r="E97" s="46"/>
      <c r="F97" s="46"/>
      <c r="G97" s="46"/>
      <c r="H97" s="46"/>
      <c r="I97" s="69"/>
    </row>
    <row r="98" spans="1:9">
      <c r="A98" s="46"/>
      <c r="B98" s="47"/>
      <c r="C98" s="52"/>
      <c r="D98" s="69"/>
      <c r="E98" s="46"/>
      <c r="F98" s="46"/>
      <c r="G98" s="46"/>
      <c r="H98" s="46"/>
      <c r="I98" s="69"/>
    </row>
    <row r="99" spans="1:9">
      <c r="A99" s="46"/>
      <c r="B99" s="47"/>
      <c r="C99" s="52"/>
      <c r="D99" s="69"/>
      <c r="E99" s="46"/>
      <c r="F99" s="46"/>
      <c r="G99" s="46"/>
      <c r="H99" s="46"/>
      <c r="I99" s="69"/>
    </row>
    <row r="100" spans="1:9">
      <c r="A100" s="46"/>
      <c r="B100" s="47"/>
      <c r="C100" s="52"/>
      <c r="D100" s="69"/>
      <c r="E100" s="46"/>
      <c r="F100" s="46"/>
      <c r="G100" s="46"/>
      <c r="H100" s="46"/>
      <c r="I100" s="69"/>
    </row>
    <row r="101" spans="1:9">
      <c r="A101" s="46"/>
      <c r="B101" s="47"/>
      <c r="C101" s="52"/>
      <c r="D101" s="69"/>
      <c r="E101" s="46"/>
      <c r="F101" s="46"/>
      <c r="G101" s="46"/>
      <c r="H101" s="46"/>
      <c r="I101" s="69"/>
    </row>
    <row r="102" spans="1:9">
      <c r="A102" s="46"/>
      <c r="B102" s="47"/>
      <c r="C102" s="52"/>
      <c r="D102" s="69"/>
      <c r="E102" s="46"/>
      <c r="F102" s="46"/>
      <c r="G102" s="46"/>
      <c r="H102" s="46"/>
      <c r="I102" s="69"/>
    </row>
    <row r="103" spans="1:9">
      <c r="A103" s="46"/>
      <c r="B103" s="47"/>
      <c r="C103" s="52"/>
      <c r="D103" s="69"/>
      <c r="E103" s="46"/>
      <c r="F103" s="46"/>
      <c r="G103" s="46"/>
      <c r="H103" s="46"/>
      <c r="I103" s="69"/>
    </row>
    <row r="104" spans="1:9">
      <c r="A104" s="46"/>
      <c r="B104" s="47"/>
      <c r="C104" s="52"/>
      <c r="D104" s="69"/>
      <c r="E104" s="46"/>
      <c r="F104" s="46"/>
      <c r="G104" s="46"/>
      <c r="H104" s="46"/>
      <c r="I104" s="69"/>
    </row>
    <row r="105" spans="1:9">
      <c r="A105" s="46"/>
      <c r="B105" s="47"/>
      <c r="C105" s="52"/>
      <c r="D105" s="69"/>
      <c r="E105" s="46"/>
      <c r="F105" s="46"/>
      <c r="G105" s="46"/>
      <c r="H105" s="46"/>
      <c r="I105" s="69"/>
    </row>
    <row r="106" spans="1:9">
      <c r="A106" s="46"/>
      <c r="B106" s="47"/>
      <c r="C106" s="52"/>
      <c r="D106" s="69"/>
      <c r="E106" s="46"/>
      <c r="F106" s="46"/>
      <c r="G106" s="46"/>
      <c r="H106" s="46"/>
      <c r="I106" s="69"/>
    </row>
    <row r="107" spans="1:9">
      <c r="A107" s="46"/>
      <c r="B107" s="47"/>
      <c r="C107" s="52"/>
      <c r="D107" s="69"/>
      <c r="E107" s="46"/>
      <c r="F107" s="46"/>
      <c r="G107" s="46"/>
      <c r="H107" s="46"/>
      <c r="I107" s="69"/>
    </row>
    <row r="108" spans="1:9">
      <c r="A108" s="46"/>
      <c r="B108" s="47"/>
      <c r="C108" s="52"/>
      <c r="D108" s="69"/>
      <c r="E108" s="46"/>
      <c r="F108" s="46"/>
      <c r="G108" s="46"/>
      <c r="H108" s="46"/>
      <c r="I108" s="69"/>
    </row>
    <row r="109" spans="1:9">
      <c r="A109" s="46"/>
      <c r="B109" s="47"/>
      <c r="C109" s="52"/>
      <c r="D109" s="69"/>
      <c r="E109" s="46"/>
      <c r="F109" s="46"/>
      <c r="G109" s="46"/>
      <c r="H109" s="46"/>
      <c r="I109" s="69"/>
    </row>
    <row r="110" spans="1:9">
      <c r="A110" s="46"/>
      <c r="B110" s="47"/>
      <c r="C110" s="52"/>
      <c r="D110" s="69"/>
      <c r="E110" s="46"/>
      <c r="F110" s="46"/>
      <c r="G110" s="46"/>
      <c r="H110" s="46"/>
      <c r="I110" s="69"/>
    </row>
    <row r="111" spans="1:9">
      <c r="A111" s="46"/>
      <c r="B111" s="47"/>
      <c r="C111" s="52"/>
      <c r="D111" s="69"/>
      <c r="E111" s="46"/>
      <c r="F111" s="46"/>
      <c r="G111" s="46"/>
      <c r="H111" s="46"/>
      <c r="I111" s="69"/>
    </row>
    <row r="112" spans="1:9">
      <c r="A112" s="46"/>
      <c r="B112" s="47"/>
      <c r="C112" s="52"/>
      <c r="D112" s="69"/>
      <c r="E112" s="46"/>
      <c r="F112" s="46"/>
      <c r="G112" s="46"/>
      <c r="H112" s="46"/>
      <c r="I112" s="69"/>
    </row>
    <row r="113" spans="1:9">
      <c r="A113" s="46"/>
      <c r="B113" s="47"/>
      <c r="C113" s="52"/>
      <c r="D113" s="69"/>
      <c r="E113" s="46"/>
      <c r="F113" s="46"/>
      <c r="G113" s="46"/>
      <c r="H113" s="46"/>
      <c r="I113" s="69"/>
    </row>
    <row r="114" spans="1:9">
      <c r="A114" s="46"/>
      <c r="B114" s="47"/>
      <c r="C114" s="52"/>
      <c r="D114" s="69"/>
      <c r="E114" s="46"/>
      <c r="F114" s="46"/>
      <c r="G114" s="46"/>
      <c r="H114" s="46"/>
      <c r="I114" s="69"/>
    </row>
    <row r="115" spans="1:9">
      <c r="A115" s="46"/>
      <c r="B115" s="47"/>
      <c r="C115" s="52"/>
      <c r="D115" s="69"/>
      <c r="E115" s="46"/>
      <c r="F115" s="46"/>
      <c r="G115" s="46"/>
      <c r="H115" s="46"/>
      <c r="I115" s="69"/>
    </row>
    <row r="116" spans="1:9">
      <c r="A116" s="46"/>
      <c r="B116" s="47"/>
      <c r="C116" s="52"/>
      <c r="D116" s="69"/>
      <c r="E116" s="46"/>
      <c r="F116" s="46"/>
      <c r="G116" s="46"/>
      <c r="H116" s="46"/>
      <c r="I116" s="69"/>
    </row>
    <row r="117" spans="1:9">
      <c r="A117" s="46"/>
      <c r="B117" s="47"/>
      <c r="C117" s="52"/>
      <c r="D117" s="69"/>
      <c r="E117" s="46"/>
      <c r="F117" s="46"/>
      <c r="G117" s="46"/>
      <c r="H117" s="46"/>
      <c r="I117" s="69"/>
    </row>
    <row r="118" spans="1:9">
      <c r="A118" s="46"/>
      <c r="B118" s="47"/>
      <c r="C118" s="52"/>
      <c r="D118" s="69"/>
      <c r="E118" s="46"/>
      <c r="F118" s="46"/>
      <c r="G118" s="46"/>
      <c r="H118" s="46"/>
      <c r="I118" s="69"/>
    </row>
    <row r="119" spans="1:9">
      <c r="A119" s="46"/>
      <c r="B119" s="47"/>
      <c r="C119" s="52"/>
      <c r="D119" s="69"/>
      <c r="E119" s="46"/>
      <c r="F119" s="46"/>
      <c r="G119" s="46"/>
      <c r="H119" s="46"/>
      <c r="I119" s="69"/>
    </row>
    <row r="120" spans="1:9">
      <c r="A120" s="46"/>
      <c r="B120" s="47"/>
      <c r="C120" s="52"/>
      <c r="D120" s="69"/>
      <c r="E120" s="46"/>
      <c r="F120" s="46"/>
      <c r="G120" s="46"/>
      <c r="H120" s="46"/>
      <c r="I120" s="69"/>
    </row>
    <row r="121" spans="1:9">
      <c r="A121" s="46"/>
      <c r="B121" s="47"/>
      <c r="C121" s="52"/>
      <c r="D121" s="69"/>
      <c r="E121" s="46"/>
      <c r="F121" s="46"/>
      <c r="G121" s="46"/>
      <c r="H121" s="46"/>
      <c r="I121" s="69"/>
    </row>
    <row r="122" spans="1:9">
      <c r="A122" s="46"/>
      <c r="B122" s="47"/>
      <c r="C122" s="52"/>
      <c r="D122" s="69"/>
      <c r="E122" s="46"/>
      <c r="F122" s="46"/>
      <c r="G122" s="46"/>
      <c r="H122" s="46"/>
      <c r="I122" s="69"/>
    </row>
    <row r="123" spans="1:9">
      <c r="A123" s="46"/>
      <c r="B123" s="47"/>
      <c r="C123" s="52"/>
      <c r="D123" s="69"/>
      <c r="E123" s="46"/>
      <c r="F123" s="46"/>
      <c r="G123" s="46"/>
      <c r="H123" s="46"/>
      <c r="I123" s="69"/>
    </row>
    <row r="124" spans="1:9">
      <c r="A124" s="46"/>
      <c r="B124" s="47"/>
      <c r="C124" s="52"/>
      <c r="D124" s="69"/>
      <c r="E124" s="46"/>
      <c r="F124" s="46"/>
      <c r="G124" s="46"/>
      <c r="H124" s="46"/>
      <c r="I124" s="69"/>
    </row>
    <row r="125" spans="1:9">
      <c r="A125" s="46"/>
      <c r="B125" s="47"/>
      <c r="C125" s="52"/>
      <c r="D125" s="69"/>
      <c r="E125" s="46"/>
      <c r="F125" s="46"/>
      <c r="G125" s="46"/>
      <c r="H125" s="46"/>
      <c r="I125" s="69"/>
    </row>
    <row r="126" spans="1:9">
      <c r="A126" s="46"/>
      <c r="B126" s="47"/>
      <c r="C126" s="52"/>
      <c r="D126" s="69"/>
      <c r="E126" s="46"/>
      <c r="F126" s="46"/>
      <c r="G126" s="46"/>
      <c r="H126" s="46"/>
      <c r="I126" s="69"/>
    </row>
    <row r="127" spans="1:9">
      <c r="A127" s="46"/>
      <c r="B127" s="47"/>
      <c r="C127" s="52"/>
      <c r="D127" s="69"/>
      <c r="E127" s="46"/>
      <c r="F127" s="46"/>
      <c r="G127" s="46"/>
      <c r="H127" s="46"/>
      <c r="I127" s="69"/>
    </row>
    <row r="128" spans="1:9">
      <c r="A128" s="46"/>
      <c r="B128" s="47"/>
      <c r="C128" s="52"/>
      <c r="D128" s="69"/>
      <c r="E128" s="46"/>
      <c r="F128" s="46"/>
      <c r="G128" s="46"/>
      <c r="H128" s="46"/>
      <c r="I128" s="69"/>
    </row>
    <row r="129" spans="1:9">
      <c r="A129" s="46"/>
      <c r="B129" s="47"/>
      <c r="C129" s="52"/>
      <c r="D129" s="69"/>
      <c r="E129" s="46"/>
      <c r="F129" s="46"/>
      <c r="G129" s="46"/>
      <c r="H129" s="46"/>
      <c r="I129" s="69"/>
    </row>
    <row r="130" spans="1:9">
      <c r="A130" s="46"/>
      <c r="B130" s="47"/>
      <c r="C130" s="52"/>
      <c r="D130" s="69"/>
      <c r="E130" s="46"/>
      <c r="F130" s="46"/>
      <c r="G130" s="46"/>
      <c r="H130" s="46"/>
      <c r="I130" s="69"/>
    </row>
    <row r="131" spans="1:9">
      <c r="A131" s="46"/>
      <c r="B131" s="47"/>
      <c r="C131" s="52"/>
      <c r="D131" s="69"/>
      <c r="E131" s="46"/>
      <c r="F131" s="46"/>
      <c r="G131" s="46"/>
      <c r="H131" s="46"/>
      <c r="I131" s="69"/>
    </row>
    <row r="132" spans="1:9">
      <c r="A132" s="46"/>
      <c r="B132" s="47"/>
      <c r="C132" s="52"/>
      <c r="D132" s="69"/>
      <c r="E132" s="46"/>
      <c r="F132" s="46"/>
      <c r="G132" s="46"/>
      <c r="H132" s="46"/>
      <c r="I132" s="69"/>
    </row>
    <row r="133" spans="1:9">
      <c r="A133" s="46"/>
      <c r="B133" s="47"/>
      <c r="C133" s="52"/>
      <c r="D133" s="69"/>
      <c r="E133" s="46"/>
      <c r="F133" s="46"/>
      <c r="G133" s="46"/>
      <c r="H133" s="46"/>
      <c r="I133" s="69"/>
    </row>
    <row r="134" spans="1:9">
      <c r="A134" s="46"/>
      <c r="B134" s="47"/>
      <c r="C134" s="52"/>
      <c r="D134" s="69"/>
      <c r="E134" s="46"/>
      <c r="F134" s="46"/>
      <c r="G134" s="46"/>
      <c r="H134" s="46"/>
      <c r="I134" s="69"/>
    </row>
    <row r="135" spans="1:9">
      <c r="A135" s="46"/>
      <c r="B135" s="47"/>
      <c r="C135" s="52"/>
      <c r="D135" s="69"/>
      <c r="E135" s="46"/>
      <c r="F135" s="46"/>
      <c r="G135" s="46"/>
      <c r="H135" s="46"/>
      <c r="I135" s="69"/>
    </row>
    <row r="136" spans="1:9">
      <c r="A136" s="46"/>
      <c r="B136" s="47"/>
      <c r="C136" s="52"/>
      <c r="D136" s="69"/>
      <c r="E136" s="46"/>
      <c r="F136" s="46"/>
      <c r="G136" s="46"/>
      <c r="H136" s="46"/>
      <c r="I136" s="69"/>
    </row>
    <row r="137" spans="1:9">
      <c r="A137" s="46"/>
      <c r="B137" s="47"/>
      <c r="C137" s="52"/>
      <c r="D137" s="69"/>
      <c r="E137" s="46"/>
      <c r="F137" s="46"/>
      <c r="G137" s="46"/>
      <c r="H137" s="46"/>
      <c r="I137" s="69"/>
    </row>
    <row r="138" spans="1:9">
      <c r="A138" s="46"/>
      <c r="B138" s="47"/>
      <c r="C138" s="52"/>
      <c r="D138" s="69"/>
      <c r="E138" s="46"/>
      <c r="F138" s="46"/>
      <c r="G138" s="46"/>
      <c r="H138" s="46"/>
      <c r="I138" s="69"/>
    </row>
    <row r="139" spans="1:9">
      <c r="A139" s="46"/>
      <c r="B139" s="47"/>
      <c r="C139" s="52"/>
      <c r="D139" s="69"/>
      <c r="E139" s="46"/>
      <c r="F139" s="46"/>
      <c r="G139" s="46"/>
      <c r="H139" s="46"/>
      <c r="I139" s="69"/>
    </row>
    <row r="140" spans="1:9">
      <c r="A140" s="46"/>
      <c r="B140" s="47"/>
      <c r="C140" s="52"/>
      <c r="D140" s="69"/>
      <c r="E140" s="46"/>
      <c r="F140" s="46"/>
      <c r="G140" s="46"/>
      <c r="H140" s="46"/>
      <c r="I140" s="69"/>
    </row>
    <row r="141" spans="1:9">
      <c r="A141" s="46"/>
      <c r="B141" s="47"/>
      <c r="C141" s="52"/>
      <c r="D141" s="69"/>
      <c r="E141" s="46"/>
      <c r="F141" s="46"/>
      <c r="G141" s="46"/>
      <c r="H141" s="46"/>
      <c r="I141" s="69"/>
    </row>
    <row r="142" spans="1:9">
      <c r="A142" s="46"/>
      <c r="B142" s="47"/>
      <c r="C142" s="52"/>
      <c r="D142" s="69"/>
      <c r="E142" s="46"/>
      <c r="F142" s="46"/>
      <c r="G142" s="46"/>
      <c r="H142" s="46"/>
      <c r="I142" s="69"/>
    </row>
    <row r="143" spans="1:9">
      <c r="A143" s="46"/>
      <c r="B143" s="47"/>
      <c r="C143" s="52"/>
      <c r="D143" s="69"/>
      <c r="E143" s="46"/>
      <c r="F143" s="46"/>
      <c r="G143" s="46"/>
      <c r="H143" s="46"/>
      <c r="I143" s="69"/>
    </row>
    <row r="144" spans="1:9">
      <c r="A144" s="46"/>
      <c r="B144" s="47"/>
      <c r="C144" s="52"/>
      <c r="D144" s="69"/>
      <c r="E144" s="46"/>
      <c r="F144" s="46"/>
      <c r="G144" s="46"/>
      <c r="H144" s="46"/>
      <c r="I144" s="69"/>
    </row>
    <row r="145" spans="1:9">
      <c r="A145" s="46"/>
      <c r="B145" s="47"/>
      <c r="C145" s="52"/>
      <c r="D145" s="69"/>
      <c r="E145" s="46"/>
      <c r="F145" s="46"/>
      <c r="G145" s="46"/>
      <c r="H145" s="46"/>
      <c r="I145" s="69"/>
    </row>
    <row r="146" spans="1:9">
      <c r="A146" s="46"/>
      <c r="B146" s="47"/>
      <c r="C146" s="52"/>
      <c r="D146" s="69"/>
      <c r="E146" s="46"/>
      <c r="F146" s="46"/>
      <c r="G146" s="46"/>
      <c r="H146" s="46"/>
      <c r="I146" s="69"/>
    </row>
    <row r="147" spans="1:9">
      <c r="A147" s="46"/>
      <c r="B147" s="47"/>
      <c r="C147" s="52"/>
      <c r="D147" s="69"/>
      <c r="E147" s="46"/>
      <c r="F147" s="46"/>
      <c r="G147" s="46"/>
      <c r="H147" s="46"/>
      <c r="I147" s="69"/>
    </row>
    <row r="148" spans="1:9">
      <c r="A148" s="46"/>
      <c r="B148" s="47"/>
      <c r="C148" s="52"/>
      <c r="D148" s="69"/>
      <c r="E148" s="46"/>
      <c r="F148" s="46"/>
      <c r="G148" s="46"/>
      <c r="H148" s="46"/>
      <c r="I148" s="69"/>
    </row>
    <row r="149" spans="1:9">
      <c r="A149" s="46"/>
      <c r="B149" s="47"/>
      <c r="C149" s="52"/>
      <c r="D149" s="69"/>
      <c r="E149" s="46"/>
      <c r="F149" s="46"/>
      <c r="G149" s="46"/>
      <c r="H149" s="46"/>
      <c r="I149" s="69"/>
    </row>
    <row r="150" spans="1:9">
      <c r="A150" s="46"/>
      <c r="B150" s="47"/>
      <c r="C150" s="52"/>
      <c r="D150" s="69"/>
      <c r="E150" s="46"/>
      <c r="F150" s="46"/>
      <c r="G150" s="46"/>
      <c r="H150" s="46"/>
      <c r="I150" s="69"/>
    </row>
    <row r="151" spans="1:9">
      <c r="A151" s="46"/>
      <c r="B151" s="47"/>
      <c r="C151" s="52"/>
      <c r="D151" s="69"/>
      <c r="E151" s="46"/>
      <c r="F151" s="46"/>
      <c r="G151" s="46"/>
      <c r="H151" s="46"/>
      <c r="I151" s="69"/>
    </row>
    <row r="152" spans="1:9">
      <c r="A152" s="46"/>
      <c r="B152" s="47"/>
      <c r="C152" s="52"/>
      <c r="D152" s="69"/>
      <c r="E152" s="46"/>
      <c r="F152" s="46"/>
      <c r="G152" s="46"/>
      <c r="H152" s="46"/>
      <c r="I152" s="69"/>
    </row>
    <row r="153" spans="1:9">
      <c r="A153" s="46"/>
      <c r="B153" s="47"/>
      <c r="C153" s="52"/>
      <c r="D153" s="69"/>
      <c r="E153" s="46"/>
      <c r="F153" s="46"/>
      <c r="G153" s="46"/>
      <c r="H153" s="46"/>
      <c r="I153" s="69"/>
    </row>
    <row r="154" spans="1:9">
      <c r="A154" s="46"/>
      <c r="B154" s="47"/>
      <c r="C154" s="52"/>
      <c r="D154" s="69"/>
      <c r="E154" s="46"/>
      <c r="F154" s="46"/>
      <c r="G154" s="46"/>
      <c r="H154" s="46"/>
      <c r="I154" s="69"/>
    </row>
    <row r="155" spans="1:9">
      <c r="A155" s="46"/>
      <c r="B155" s="47"/>
      <c r="C155" s="52"/>
      <c r="D155" s="69"/>
      <c r="E155" s="46"/>
      <c r="F155" s="46"/>
      <c r="G155" s="46"/>
      <c r="H155" s="46"/>
      <c r="I155" s="69"/>
    </row>
    <row r="156" spans="1:9">
      <c r="A156" s="46"/>
      <c r="B156" s="47"/>
      <c r="C156" s="52"/>
      <c r="D156" s="69"/>
      <c r="E156" s="46"/>
      <c r="F156" s="46"/>
      <c r="G156" s="46"/>
      <c r="H156" s="46"/>
      <c r="I156" s="69"/>
    </row>
    <row r="157" spans="1:9">
      <c r="A157" s="46"/>
      <c r="B157" s="47"/>
      <c r="C157" s="52"/>
      <c r="D157" s="69"/>
      <c r="E157" s="46"/>
      <c r="F157" s="46"/>
      <c r="G157" s="46"/>
      <c r="H157" s="46"/>
      <c r="I157" s="69"/>
    </row>
    <row r="158" spans="1:9">
      <c r="A158" s="46"/>
      <c r="B158" s="47"/>
      <c r="C158" s="52"/>
      <c r="D158" s="69"/>
      <c r="E158" s="46"/>
      <c r="F158" s="46"/>
      <c r="G158" s="46"/>
      <c r="H158" s="46"/>
      <c r="I158" s="69"/>
    </row>
    <row r="159" spans="1:9">
      <c r="A159" s="46"/>
      <c r="B159" s="47"/>
      <c r="C159" s="52"/>
      <c r="D159" s="69"/>
      <c r="E159" s="46"/>
      <c r="F159" s="46"/>
      <c r="G159" s="46"/>
      <c r="H159" s="46"/>
      <c r="I159" s="69"/>
    </row>
    <row r="160" spans="1:9">
      <c r="A160" s="46"/>
      <c r="B160" s="47"/>
      <c r="C160" s="52"/>
      <c r="D160" s="69"/>
      <c r="E160" s="46"/>
      <c r="F160" s="46"/>
      <c r="G160" s="46"/>
      <c r="H160" s="46"/>
      <c r="I160" s="69"/>
    </row>
    <row r="161" spans="1:9">
      <c r="A161" s="46"/>
      <c r="B161" s="47"/>
      <c r="C161" s="52"/>
      <c r="D161" s="69"/>
      <c r="E161" s="46"/>
      <c r="F161" s="46"/>
      <c r="G161" s="46"/>
      <c r="H161" s="46"/>
      <c r="I161" s="69"/>
    </row>
    <row r="162" spans="1:9">
      <c r="A162" s="46"/>
      <c r="B162" s="47"/>
      <c r="C162" s="52"/>
      <c r="D162" s="69"/>
      <c r="E162" s="46"/>
      <c r="F162" s="46"/>
      <c r="G162" s="46"/>
      <c r="H162" s="46"/>
      <c r="I162" s="69"/>
    </row>
    <row r="163" spans="1:9">
      <c r="A163" s="46"/>
      <c r="B163" s="47"/>
      <c r="C163" s="52"/>
      <c r="D163" s="69"/>
      <c r="E163" s="46"/>
      <c r="F163" s="46"/>
      <c r="G163" s="46"/>
      <c r="H163" s="46"/>
      <c r="I163" s="69"/>
    </row>
    <row r="164" spans="1:9">
      <c r="A164" s="46"/>
      <c r="B164" s="47"/>
      <c r="C164" s="52"/>
      <c r="D164" s="69"/>
      <c r="E164" s="46"/>
      <c r="F164" s="46"/>
      <c r="G164" s="46"/>
      <c r="H164" s="46"/>
      <c r="I164" s="69"/>
    </row>
    <row r="165" spans="1:9">
      <c r="A165" s="46"/>
      <c r="B165" s="47"/>
      <c r="C165" s="52"/>
      <c r="D165" s="69"/>
      <c r="E165" s="46"/>
      <c r="F165" s="46"/>
      <c r="G165" s="46"/>
      <c r="H165" s="46"/>
      <c r="I165" s="69"/>
    </row>
    <row r="166" spans="1:9">
      <c r="A166" s="46"/>
      <c r="B166" s="47"/>
      <c r="C166" s="52"/>
      <c r="D166" s="69"/>
      <c r="E166" s="46"/>
      <c r="F166" s="46"/>
      <c r="G166" s="46"/>
      <c r="H166" s="46"/>
      <c r="I166" s="69"/>
    </row>
    <row r="167" spans="1:9">
      <c r="A167" s="46"/>
      <c r="B167" s="47"/>
      <c r="C167" s="52"/>
      <c r="D167" s="69"/>
      <c r="E167" s="46"/>
      <c r="F167" s="46"/>
      <c r="G167" s="46"/>
      <c r="H167" s="46"/>
      <c r="I167" s="69"/>
    </row>
    <row r="168" spans="1:9">
      <c r="A168" s="46"/>
      <c r="B168" s="47"/>
      <c r="C168" s="52"/>
      <c r="D168" s="69"/>
      <c r="E168" s="46"/>
      <c r="F168" s="46"/>
      <c r="G168" s="46"/>
      <c r="H168" s="46"/>
      <c r="I168" s="69"/>
    </row>
    <row r="169" spans="1:9">
      <c r="A169" s="46"/>
      <c r="B169" s="47"/>
      <c r="C169" s="52"/>
      <c r="D169" s="69"/>
      <c r="E169" s="46"/>
      <c r="F169" s="46"/>
      <c r="G169" s="46"/>
      <c r="H169" s="46"/>
      <c r="I169" s="69"/>
    </row>
    <row r="170" spans="1:9">
      <c r="A170" s="46"/>
      <c r="B170" s="47"/>
      <c r="C170" s="52"/>
      <c r="D170" s="69"/>
      <c r="E170" s="46"/>
      <c r="F170" s="46"/>
      <c r="G170" s="46"/>
      <c r="H170" s="46"/>
      <c r="I170" s="69"/>
    </row>
    <row r="171" spans="1:9">
      <c r="A171" s="46"/>
      <c r="B171" s="47"/>
      <c r="C171" s="52"/>
      <c r="D171" s="69"/>
      <c r="E171" s="46"/>
      <c r="F171" s="46"/>
      <c r="G171" s="46"/>
      <c r="H171" s="46"/>
      <c r="I171" s="69"/>
    </row>
    <row r="172" spans="1:9">
      <c r="A172" s="46"/>
      <c r="B172" s="47"/>
      <c r="C172" s="52"/>
      <c r="D172" s="69"/>
      <c r="E172" s="46"/>
      <c r="F172" s="46"/>
      <c r="G172" s="46"/>
      <c r="H172" s="46"/>
      <c r="I172" s="69"/>
    </row>
    <row r="173" spans="1:9">
      <c r="A173" s="46"/>
      <c r="B173" s="47"/>
      <c r="C173" s="52"/>
      <c r="D173" s="69"/>
      <c r="E173" s="46"/>
      <c r="F173" s="46"/>
      <c r="G173" s="46"/>
      <c r="H173" s="46"/>
      <c r="I173" s="69"/>
    </row>
    <row r="174" spans="1:9">
      <c r="A174" s="46"/>
      <c r="B174" s="47"/>
      <c r="C174" s="52"/>
      <c r="D174" s="69"/>
      <c r="E174" s="46"/>
      <c r="F174" s="46"/>
      <c r="G174" s="46"/>
      <c r="H174" s="46"/>
      <c r="I174" s="69"/>
    </row>
    <row r="175" spans="1:9">
      <c r="A175" s="46"/>
      <c r="B175" s="47"/>
      <c r="C175" s="52"/>
      <c r="D175" s="69"/>
      <c r="E175" s="46"/>
      <c r="F175" s="46"/>
      <c r="G175" s="46"/>
      <c r="H175" s="46"/>
      <c r="I175" s="69"/>
    </row>
    <row r="176" spans="1:9">
      <c r="A176" s="46"/>
      <c r="B176" s="47"/>
      <c r="C176" s="52"/>
      <c r="D176" s="69"/>
      <c r="E176" s="46"/>
      <c r="F176" s="46"/>
      <c r="G176" s="46"/>
      <c r="H176" s="46"/>
      <c r="I176" s="69"/>
    </row>
    <row r="177" spans="1:9">
      <c r="A177" s="46"/>
      <c r="B177" s="47"/>
      <c r="C177" s="52"/>
      <c r="D177" s="69"/>
      <c r="E177" s="46"/>
      <c r="F177" s="46"/>
      <c r="G177" s="46"/>
      <c r="H177" s="46"/>
      <c r="I177" s="69"/>
    </row>
    <row r="178" spans="1:9">
      <c r="A178" s="46"/>
      <c r="B178" s="47"/>
      <c r="C178" s="52"/>
      <c r="D178" s="69"/>
      <c r="E178" s="46"/>
      <c r="F178" s="46"/>
      <c r="G178" s="46"/>
      <c r="H178" s="46"/>
      <c r="I178" s="69"/>
    </row>
    <row r="179" spans="1:9">
      <c r="A179" s="46"/>
      <c r="B179" s="47"/>
      <c r="C179" s="52"/>
      <c r="D179" s="69"/>
      <c r="E179" s="46"/>
      <c r="F179" s="46"/>
      <c r="G179" s="46"/>
      <c r="H179" s="46"/>
      <c r="I179" s="69"/>
    </row>
    <row r="180" spans="1:9">
      <c r="A180" s="46"/>
      <c r="B180" s="47"/>
      <c r="C180" s="52"/>
      <c r="D180" s="69"/>
      <c r="E180" s="46"/>
      <c r="F180" s="46"/>
      <c r="G180" s="46"/>
      <c r="H180" s="46"/>
      <c r="I180" s="69"/>
    </row>
    <row r="181" spans="1:9">
      <c r="A181" s="46"/>
      <c r="B181" s="47"/>
      <c r="C181" s="52"/>
      <c r="D181" s="69"/>
      <c r="E181" s="46"/>
      <c r="F181" s="46"/>
      <c r="G181" s="46"/>
      <c r="H181" s="46"/>
      <c r="I181" s="69"/>
    </row>
    <row r="182" spans="1:9">
      <c r="A182" s="46"/>
      <c r="B182" s="47"/>
      <c r="C182" s="52"/>
      <c r="D182" s="69"/>
      <c r="E182" s="46"/>
      <c r="F182" s="46"/>
      <c r="G182" s="46"/>
      <c r="H182" s="46"/>
      <c r="I182" s="69"/>
    </row>
    <row r="183" spans="1:9">
      <c r="A183" s="46"/>
      <c r="B183" s="47"/>
      <c r="C183" s="52"/>
      <c r="D183" s="69"/>
      <c r="E183" s="46"/>
      <c r="F183" s="46"/>
      <c r="G183" s="46"/>
      <c r="H183" s="46"/>
      <c r="I183" s="69"/>
    </row>
    <row r="184" spans="1:9">
      <c r="A184" s="46"/>
      <c r="B184" s="47"/>
      <c r="C184" s="52"/>
      <c r="D184" s="69"/>
      <c r="E184" s="46"/>
      <c r="F184" s="46"/>
      <c r="G184" s="46"/>
      <c r="H184" s="46"/>
      <c r="I184" s="69"/>
    </row>
    <row r="185" spans="1:9">
      <c r="A185" s="46"/>
      <c r="B185" s="47"/>
      <c r="C185" s="52"/>
      <c r="D185" s="69"/>
      <c r="E185" s="46"/>
      <c r="F185" s="46"/>
      <c r="G185" s="46"/>
      <c r="H185" s="46"/>
      <c r="I185" s="69"/>
    </row>
    <row r="186" spans="1:9">
      <c r="A186" s="46"/>
      <c r="B186" s="47"/>
      <c r="C186" s="52"/>
      <c r="D186" s="69"/>
      <c r="E186" s="46"/>
      <c r="F186" s="46"/>
      <c r="G186" s="46"/>
      <c r="H186" s="46"/>
      <c r="I186" s="69"/>
    </row>
    <row r="187" spans="1:9">
      <c r="A187" s="46"/>
      <c r="B187" s="47"/>
      <c r="C187" s="52"/>
      <c r="D187" s="69"/>
      <c r="E187" s="46"/>
      <c r="F187" s="46"/>
      <c r="G187" s="46"/>
      <c r="H187" s="46"/>
      <c r="I187" s="69"/>
    </row>
    <row r="188" spans="1:9">
      <c r="A188" s="46"/>
      <c r="B188" s="47"/>
      <c r="C188" s="52"/>
      <c r="D188" s="69"/>
      <c r="E188" s="46"/>
      <c r="F188" s="46"/>
      <c r="G188" s="46"/>
      <c r="H188" s="46"/>
      <c r="I188" s="69"/>
    </row>
    <row r="189" spans="1:9">
      <c r="A189" s="46"/>
      <c r="B189" s="47"/>
      <c r="C189" s="52"/>
      <c r="D189" s="69"/>
      <c r="E189" s="46"/>
      <c r="F189" s="46"/>
      <c r="G189" s="46"/>
      <c r="H189" s="46"/>
      <c r="I189" s="69"/>
    </row>
    <row r="190" spans="1:9">
      <c r="A190" s="46"/>
      <c r="B190" s="47"/>
      <c r="C190" s="52"/>
      <c r="D190" s="69"/>
      <c r="E190" s="46"/>
      <c r="F190" s="46"/>
      <c r="G190" s="46"/>
      <c r="H190" s="46"/>
      <c r="I190" s="69"/>
    </row>
    <row r="191" spans="1:9">
      <c r="A191" s="46"/>
      <c r="B191" s="47"/>
      <c r="C191" s="52"/>
      <c r="D191" s="69"/>
      <c r="E191" s="46"/>
      <c r="F191" s="46"/>
      <c r="G191" s="46"/>
      <c r="H191" s="46"/>
      <c r="I191" s="69"/>
    </row>
    <row r="192" spans="1:9">
      <c r="A192" s="46"/>
      <c r="B192" s="47"/>
      <c r="C192" s="52"/>
      <c r="D192" s="69"/>
      <c r="E192" s="46"/>
      <c r="F192" s="46"/>
      <c r="G192" s="46"/>
      <c r="H192" s="46"/>
      <c r="I192" s="69"/>
    </row>
    <row r="193" spans="1:9">
      <c r="A193" s="46"/>
      <c r="B193" s="47"/>
      <c r="C193" s="52"/>
      <c r="D193" s="69"/>
      <c r="E193" s="46"/>
      <c r="F193" s="46"/>
      <c r="G193" s="46"/>
      <c r="H193" s="46"/>
      <c r="I193" s="69"/>
    </row>
    <row r="194" spans="1:9">
      <c r="A194" s="46"/>
      <c r="B194" s="47"/>
      <c r="C194" s="52"/>
      <c r="D194" s="69"/>
      <c r="E194" s="46"/>
      <c r="F194" s="46"/>
      <c r="G194" s="46"/>
      <c r="H194" s="46"/>
      <c r="I194" s="69"/>
    </row>
    <row r="195" spans="1:9">
      <c r="A195" s="46"/>
      <c r="B195" s="47"/>
      <c r="C195" s="52"/>
      <c r="D195" s="69"/>
      <c r="E195" s="46"/>
      <c r="F195" s="46"/>
      <c r="G195" s="46"/>
      <c r="H195" s="46"/>
      <c r="I195" s="69"/>
    </row>
    <row r="196" spans="1:9">
      <c r="A196" s="46"/>
      <c r="B196" s="47"/>
      <c r="C196" s="52"/>
      <c r="D196" s="69"/>
      <c r="E196" s="46"/>
      <c r="F196" s="46"/>
      <c r="G196" s="46"/>
      <c r="H196" s="46"/>
      <c r="I196" s="69"/>
    </row>
    <row r="197" spans="1:9">
      <c r="A197" s="46"/>
      <c r="B197" s="47"/>
      <c r="C197" s="52"/>
      <c r="D197" s="69"/>
      <c r="E197" s="46"/>
      <c r="F197" s="46"/>
      <c r="G197" s="46"/>
      <c r="H197" s="46"/>
      <c r="I197" s="69"/>
    </row>
    <row r="198" spans="1:9">
      <c r="A198" s="46"/>
      <c r="B198" s="47"/>
      <c r="C198" s="52"/>
      <c r="D198" s="69"/>
      <c r="E198" s="46"/>
      <c r="F198" s="46"/>
      <c r="G198" s="46"/>
      <c r="H198" s="46"/>
      <c r="I198" s="69"/>
    </row>
    <row r="199" spans="1:9">
      <c r="A199" s="46"/>
      <c r="B199" s="47"/>
      <c r="C199" s="52"/>
      <c r="D199" s="69"/>
      <c r="E199" s="46"/>
      <c r="F199" s="46"/>
      <c r="G199" s="46"/>
      <c r="H199" s="46"/>
      <c r="I199" s="69"/>
    </row>
    <row r="200" spans="1:9">
      <c r="A200" s="46"/>
      <c r="B200" s="47"/>
      <c r="C200" s="52"/>
      <c r="D200" s="69"/>
      <c r="E200" s="46"/>
      <c r="F200" s="46"/>
      <c r="G200" s="46"/>
      <c r="H200" s="46"/>
      <c r="I200" s="69"/>
    </row>
    <row r="201" spans="1:9">
      <c r="A201" s="46"/>
      <c r="B201" s="47"/>
      <c r="C201" s="52"/>
      <c r="D201" s="69"/>
      <c r="E201" s="46"/>
      <c r="F201" s="46"/>
      <c r="G201" s="46"/>
      <c r="H201" s="46"/>
      <c r="I201" s="69"/>
    </row>
    <row r="202" spans="1:9">
      <c r="A202" s="46"/>
      <c r="B202" s="47"/>
      <c r="C202" s="52"/>
      <c r="D202" s="69"/>
      <c r="E202" s="46"/>
      <c r="F202" s="46"/>
      <c r="G202" s="46"/>
      <c r="H202" s="46"/>
      <c r="I202" s="69"/>
    </row>
    <row r="203" spans="1:9">
      <c r="A203" s="46"/>
      <c r="B203" s="47"/>
      <c r="C203" s="52"/>
      <c r="D203" s="69"/>
      <c r="E203" s="46"/>
      <c r="F203" s="46"/>
      <c r="G203" s="46"/>
      <c r="H203" s="46"/>
      <c r="I203" s="69"/>
    </row>
    <row r="204" spans="1:9">
      <c r="A204" s="46"/>
      <c r="B204" s="47"/>
      <c r="C204" s="52"/>
      <c r="D204" s="69"/>
      <c r="E204" s="46"/>
      <c r="F204" s="46"/>
      <c r="G204" s="46"/>
      <c r="H204" s="46"/>
      <c r="I204" s="69"/>
    </row>
    <row r="205" spans="1:9">
      <c r="A205" s="46"/>
      <c r="B205" s="47"/>
      <c r="C205" s="52"/>
      <c r="D205" s="69"/>
      <c r="E205" s="46"/>
      <c r="F205" s="46"/>
      <c r="G205" s="46"/>
      <c r="H205" s="46"/>
      <c r="I205" s="69"/>
    </row>
    <row r="206" spans="1:9">
      <c r="A206" s="46"/>
      <c r="B206" s="47"/>
      <c r="C206" s="52"/>
      <c r="D206" s="69"/>
      <c r="E206" s="46"/>
      <c r="F206" s="46"/>
      <c r="G206" s="46"/>
      <c r="H206" s="46"/>
      <c r="I206" s="69"/>
    </row>
    <row r="207" spans="1:9">
      <c r="A207" s="46"/>
      <c r="B207" s="47"/>
      <c r="C207" s="52"/>
      <c r="D207" s="69"/>
      <c r="E207" s="46"/>
      <c r="F207" s="46"/>
      <c r="G207" s="46"/>
      <c r="H207" s="46"/>
      <c r="I207" s="69"/>
    </row>
    <row r="208" spans="1:9">
      <c r="A208" s="46"/>
      <c r="B208" s="47"/>
      <c r="C208" s="52"/>
      <c r="D208" s="69"/>
      <c r="E208" s="46"/>
      <c r="F208" s="46"/>
      <c r="G208" s="46"/>
      <c r="H208" s="46"/>
      <c r="I208" s="69"/>
    </row>
    <row r="209" spans="1:9">
      <c r="A209" s="46"/>
      <c r="B209" s="47"/>
      <c r="C209" s="52"/>
      <c r="D209" s="69"/>
      <c r="E209" s="46"/>
      <c r="F209" s="46"/>
      <c r="G209" s="46"/>
      <c r="H209" s="46"/>
      <c r="I209" s="69"/>
    </row>
    <row r="210" spans="1:9">
      <c r="A210" s="46"/>
      <c r="B210" s="47"/>
      <c r="C210" s="52"/>
      <c r="D210" s="69"/>
      <c r="E210" s="46"/>
      <c r="F210" s="46"/>
      <c r="G210" s="46"/>
      <c r="H210" s="46"/>
      <c r="I210" s="69"/>
    </row>
    <row r="211" spans="1:9">
      <c r="A211" s="46"/>
      <c r="B211" s="47"/>
      <c r="C211" s="52"/>
      <c r="D211" s="69"/>
      <c r="E211" s="46"/>
      <c r="F211" s="46"/>
      <c r="G211" s="46"/>
      <c r="H211" s="46"/>
      <c r="I211" s="69"/>
    </row>
    <row r="212" spans="1:9">
      <c r="A212" s="46"/>
      <c r="B212" s="47"/>
      <c r="C212" s="52"/>
      <c r="D212" s="69"/>
      <c r="E212" s="46"/>
      <c r="F212" s="46"/>
      <c r="G212" s="46"/>
      <c r="H212" s="46"/>
      <c r="I212" s="69"/>
    </row>
    <row r="213" spans="1:9">
      <c r="A213" s="46"/>
      <c r="B213" s="47"/>
      <c r="C213" s="52"/>
      <c r="D213" s="69"/>
      <c r="E213" s="46"/>
      <c r="F213" s="46"/>
      <c r="G213" s="46"/>
      <c r="H213" s="46"/>
      <c r="I213" s="69"/>
    </row>
    <row r="214" spans="1:9">
      <c r="A214" s="46"/>
      <c r="B214" s="47"/>
      <c r="C214" s="52"/>
      <c r="D214" s="69"/>
      <c r="E214" s="46"/>
      <c r="F214" s="46"/>
      <c r="G214" s="46"/>
      <c r="H214" s="46"/>
      <c r="I214" s="69"/>
    </row>
    <row r="215" spans="1:9">
      <c r="A215" s="46"/>
      <c r="B215" s="47"/>
      <c r="C215" s="52"/>
      <c r="D215" s="69"/>
      <c r="E215" s="46"/>
      <c r="F215" s="46"/>
      <c r="G215" s="46"/>
      <c r="H215" s="46"/>
      <c r="I215" s="69"/>
    </row>
    <row r="216" spans="1:9">
      <c r="A216" s="46"/>
      <c r="B216" s="47"/>
      <c r="C216" s="52"/>
      <c r="D216" s="69"/>
      <c r="E216" s="46"/>
      <c r="F216" s="46"/>
      <c r="G216" s="46"/>
      <c r="H216" s="46"/>
      <c r="I216" s="69"/>
    </row>
    <row r="217" spans="1:9">
      <c r="A217" s="46"/>
      <c r="B217" s="47"/>
      <c r="C217" s="52"/>
      <c r="D217" s="69"/>
      <c r="E217" s="46"/>
      <c r="F217" s="46"/>
      <c r="G217" s="46"/>
      <c r="H217" s="46"/>
      <c r="I217" s="69"/>
    </row>
    <row r="218" spans="1:9">
      <c r="A218" s="46"/>
      <c r="B218" s="47"/>
      <c r="C218" s="52"/>
      <c r="D218" s="69"/>
      <c r="E218" s="46"/>
      <c r="F218" s="46"/>
      <c r="G218" s="46"/>
      <c r="H218" s="46"/>
      <c r="I218" s="69"/>
    </row>
    <row r="219" spans="1:9">
      <c r="A219" s="46"/>
      <c r="B219" s="47"/>
      <c r="C219" s="52"/>
      <c r="D219" s="69"/>
      <c r="E219" s="46"/>
      <c r="F219" s="46"/>
      <c r="G219" s="46"/>
      <c r="H219" s="46"/>
      <c r="I219" s="69"/>
    </row>
    <row r="220" spans="1:9">
      <c r="A220" s="46"/>
      <c r="B220" s="47"/>
      <c r="C220" s="52"/>
      <c r="D220" s="69"/>
      <c r="E220" s="46"/>
      <c r="F220" s="46"/>
      <c r="G220" s="46"/>
      <c r="H220" s="46"/>
      <c r="I220" s="69"/>
    </row>
    <row r="221" spans="1:9">
      <c r="A221" s="46"/>
      <c r="B221" s="47"/>
      <c r="C221" s="52"/>
      <c r="D221" s="69"/>
      <c r="E221" s="46"/>
      <c r="F221" s="46"/>
      <c r="G221" s="46"/>
      <c r="H221" s="46"/>
      <c r="I221" s="69"/>
    </row>
    <row r="222" spans="1:9">
      <c r="A222" s="46"/>
      <c r="B222" s="47"/>
      <c r="C222" s="52"/>
      <c r="D222" s="69"/>
      <c r="E222" s="46"/>
      <c r="F222" s="46"/>
      <c r="G222" s="46"/>
      <c r="H222" s="46"/>
      <c r="I222" s="69"/>
    </row>
    <row r="223" spans="1:9">
      <c r="A223" s="46"/>
      <c r="B223" s="47"/>
      <c r="C223" s="52"/>
      <c r="D223" s="69"/>
      <c r="E223" s="46"/>
      <c r="F223" s="46"/>
      <c r="G223" s="46"/>
      <c r="H223" s="46"/>
      <c r="I223" s="69"/>
    </row>
    <row r="224" spans="1:9">
      <c r="A224" s="46"/>
      <c r="B224" s="47"/>
      <c r="C224" s="52"/>
      <c r="D224" s="69"/>
      <c r="E224" s="46"/>
      <c r="F224" s="46"/>
      <c r="G224" s="46"/>
      <c r="H224" s="46"/>
      <c r="I224" s="69"/>
    </row>
    <row r="225" spans="1:9">
      <c r="A225" s="46"/>
      <c r="B225" s="47"/>
      <c r="C225" s="52"/>
      <c r="D225" s="69"/>
      <c r="E225" s="46"/>
      <c r="F225" s="46"/>
      <c r="G225" s="46"/>
      <c r="H225" s="46"/>
      <c r="I225" s="69"/>
    </row>
    <row r="226" spans="1:9">
      <c r="A226" s="46"/>
      <c r="B226" s="47"/>
      <c r="C226" s="52"/>
      <c r="D226" s="69"/>
      <c r="E226" s="46"/>
      <c r="F226" s="46"/>
      <c r="G226" s="46"/>
      <c r="H226" s="46"/>
      <c r="I226" s="69"/>
    </row>
    <row r="227" spans="1:9">
      <c r="A227" s="46"/>
      <c r="B227" s="47"/>
      <c r="C227" s="52"/>
      <c r="D227" s="69"/>
      <c r="E227" s="46"/>
      <c r="F227" s="46"/>
      <c r="G227" s="46"/>
      <c r="H227" s="46"/>
      <c r="I227" s="69"/>
    </row>
    <row r="228" spans="1:9">
      <c r="A228" s="46"/>
      <c r="B228" s="47"/>
      <c r="C228" s="52"/>
      <c r="D228" s="69"/>
      <c r="E228" s="46"/>
      <c r="F228" s="46"/>
      <c r="G228" s="46"/>
      <c r="H228" s="46"/>
      <c r="I228" s="69"/>
    </row>
    <row r="229" spans="1:9">
      <c r="A229" s="46"/>
      <c r="B229" s="47"/>
      <c r="C229" s="52"/>
      <c r="D229" s="69"/>
      <c r="E229" s="46"/>
      <c r="F229" s="46"/>
      <c r="G229" s="46"/>
      <c r="H229" s="46"/>
      <c r="I229" s="69"/>
    </row>
    <row r="230" spans="1:9">
      <c r="A230" s="46"/>
      <c r="B230" s="47"/>
      <c r="C230" s="52"/>
      <c r="D230" s="69"/>
      <c r="E230" s="46"/>
      <c r="F230" s="46"/>
      <c r="G230" s="46"/>
      <c r="H230" s="46"/>
      <c r="I230" s="69"/>
    </row>
    <row r="231" spans="1:9">
      <c r="A231" s="46"/>
      <c r="B231" s="47"/>
      <c r="C231" s="52"/>
      <c r="D231" s="69"/>
      <c r="E231" s="46"/>
      <c r="F231" s="46"/>
      <c r="G231" s="46"/>
      <c r="H231" s="46"/>
      <c r="I231" s="69"/>
    </row>
  </sheetData>
  <mergeCells count="15">
    <mergeCell ref="B5:I5"/>
    <mergeCell ref="B6:I6"/>
    <mergeCell ref="B1:I1"/>
    <mergeCell ref="B2:I2"/>
    <mergeCell ref="B3:I3"/>
    <mergeCell ref="B4:I4"/>
    <mergeCell ref="B7:B8"/>
    <mergeCell ref="C7:C8"/>
    <mergeCell ref="A7:A8"/>
    <mergeCell ref="K9:R9"/>
    <mergeCell ref="K7:R7"/>
    <mergeCell ref="K8:R8"/>
    <mergeCell ref="D7:H7"/>
    <mergeCell ref="I7:I8"/>
    <mergeCell ref="C9:I9"/>
  </mergeCells>
  <pageMargins left="0.45" right="0.45" top="0.75" bottom="0.5" header="0.3" footer="0.3"/>
  <pageSetup scale="85" orientation="portrait" r:id="rId1"/>
  <headerFooter>
    <oddFooter>&amp;CPage no  &amp;P  MB-  1000</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42"/>
  <sheetViews>
    <sheetView view="pageBreakPreview" topLeftCell="A43" zoomScale="90" zoomScaleSheetLayoutView="90" workbookViewId="0">
      <selection activeCell="C17" sqref="C17"/>
    </sheetView>
  </sheetViews>
  <sheetFormatPr defaultColWidth="9.140625" defaultRowHeight="14.25"/>
  <cols>
    <col min="1" max="1" width="10.140625" style="37" customWidth="1"/>
    <col min="2" max="2" width="7" style="48" customWidth="1"/>
    <col min="3" max="3" width="42.85546875" style="53" customWidth="1"/>
    <col min="4" max="4" width="4.28515625" style="70" bestFit="1" customWidth="1"/>
    <col min="5" max="6" width="9.28515625" style="37" bestFit="1" customWidth="1"/>
    <col min="7" max="7" width="7.7109375" style="37" bestFit="1" customWidth="1"/>
    <col min="8" max="8" width="11.85546875" style="37" customWidth="1"/>
    <col min="9" max="9" width="9.28515625" style="70" customWidth="1"/>
    <col min="10" max="10" width="9.140625" style="37"/>
    <col min="11" max="11" width="9.85546875" style="37" bestFit="1" customWidth="1"/>
    <col min="12" max="12" width="9.28515625" style="37" bestFit="1" customWidth="1"/>
    <col min="13" max="13" width="9.7109375" style="37" bestFit="1" customWidth="1"/>
    <col min="14" max="16384" width="9.140625" style="37"/>
  </cols>
  <sheetData>
    <row r="1" spans="1:18" ht="34.15" customHeight="1">
      <c r="A1" s="56" t="s">
        <v>78</v>
      </c>
      <c r="B1" s="309" t="s">
        <v>85</v>
      </c>
      <c r="C1" s="310"/>
      <c r="D1" s="310"/>
      <c r="E1" s="310"/>
      <c r="F1" s="310"/>
      <c r="G1" s="310"/>
      <c r="H1" s="310"/>
      <c r="I1" s="311"/>
    </row>
    <row r="2" spans="1:18" ht="24.75" customHeight="1">
      <c r="A2" s="56" t="s">
        <v>79</v>
      </c>
      <c r="B2" s="298" t="s">
        <v>88</v>
      </c>
      <c r="C2" s="299"/>
      <c r="D2" s="299"/>
      <c r="E2" s="299"/>
      <c r="F2" s="299"/>
      <c r="G2" s="299"/>
      <c r="H2" s="299"/>
      <c r="I2" s="300"/>
    </row>
    <row r="3" spans="1:18" ht="24.75" customHeight="1">
      <c r="A3" s="57" t="s">
        <v>93</v>
      </c>
      <c r="B3" s="298" t="s">
        <v>95</v>
      </c>
      <c r="C3" s="299"/>
      <c r="D3" s="299"/>
      <c r="E3" s="299"/>
      <c r="F3" s="299"/>
      <c r="G3" s="299"/>
      <c r="H3" s="299"/>
      <c r="I3" s="300"/>
    </row>
    <row r="4" spans="1:18" ht="24.75" customHeight="1">
      <c r="A4" s="57" t="s">
        <v>80</v>
      </c>
      <c r="B4" s="298" t="s">
        <v>90</v>
      </c>
      <c r="C4" s="299"/>
      <c r="D4" s="299"/>
      <c r="E4" s="299"/>
      <c r="F4" s="299"/>
      <c r="G4" s="299"/>
      <c r="H4" s="299"/>
      <c r="I4" s="300"/>
    </row>
    <row r="5" spans="1:18" ht="24.75" customHeight="1">
      <c r="A5" s="57" t="s">
        <v>92</v>
      </c>
      <c r="B5" s="298" t="s">
        <v>91</v>
      </c>
      <c r="C5" s="299"/>
      <c r="D5" s="299"/>
      <c r="E5" s="299"/>
      <c r="F5" s="299"/>
      <c r="G5" s="299"/>
      <c r="H5" s="299"/>
      <c r="I5" s="300"/>
    </row>
    <row r="6" spans="1:18" ht="25.5" customHeight="1">
      <c r="A6" s="57" t="s">
        <v>81</v>
      </c>
      <c r="B6" s="301" t="s">
        <v>112</v>
      </c>
      <c r="C6" s="302">
        <v>1</v>
      </c>
      <c r="D6" s="302"/>
      <c r="E6" s="302"/>
      <c r="F6" s="302"/>
      <c r="G6" s="302"/>
      <c r="H6" s="302"/>
      <c r="I6" s="303"/>
      <c r="L6" s="38"/>
    </row>
    <row r="7" spans="1:18" ht="24.95" customHeight="1">
      <c r="A7" s="289" t="s">
        <v>82</v>
      </c>
      <c r="B7" s="289" t="s">
        <v>15</v>
      </c>
      <c r="C7" s="290" t="s">
        <v>4</v>
      </c>
      <c r="D7" s="294" t="s">
        <v>83</v>
      </c>
      <c r="E7" s="294"/>
      <c r="F7" s="294"/>
      <c r="G7" s="294"/>
      <c r="H7" s="294"/>
      <c r="I7" s="294" t="s">
        <v>9</v>
      </c>
      <c r="J7" s="39"/>
      <c r="K7" s="293"/>
      <c r="L7" s="293"/>
      <c r="M7" s="293"/>
      <c r="N7" s="293"/>
      <c r="O7" s="293"/>
      <c r="P7" s="293"/>
      <c r="Q7" s="293"/>
      <c r="R7" s="293"/>
    </row>
    <row r="8" spans="1:18" ht="31.5" customHeight="1">
      <c r="A8" s="289"/>
      <c r="B8" s="289"/>
      <c r="C8" s="291"/>
      <c r="D8" s="58" t="s">
        <v>18</v>
      </c>
      <c r="E8" s="58" t="s">
        <v>0</v>
      </c>
      <c r="F8" s="58" t="s">
        <v>1</v>
      </c>
      <c r="G8" s="59" t="s">
        <v>2</v>
      </c>
      <c r="H8" s="58" t="s">
        <v>84</v>
      </c>
      <c r="I8" s="294"/>
      <c r="J8" s="39"/>
      <c r="K8" s="292"/>
      <c r="L8" s="292"/>
      <c r="M8" s="292"/>
      <c r="N8" s="292"/>
      <c r="O8" s="292"/>
      <c r="P8" s="292"/>
      <c r="Q8" s="292"/>
      <c r="R8" s="292"/>
    </row>
    <row r="9" spans="1:18" ht="27.75" customHeight="1">
      <c r="A9" s="43" t="s">
        <v>152</v>
      </c>
      <c r="B9" s="250" t="s">
        <v>125</v>
      </c>
      <c r="C9" s="242" t="s">
        <v>126</v>
      </c>
      <c r="D9" s="65"/>
      <c r="E9" s="61"/>
      <c r="F9" s="61"/>
      <c r="G9" s="60"/>
      <c r="H9" s="40"/>
      <c r="I9" s="66"/>
      <c r="J9" s="74"/>
    </row>
    <row r="10" spans="1:18" ht="27.75" customHeight="1">
      <c r="A10" s="43"/>
      <c r="B10" s="250"/>
      <c r="C10" s="50" t="s">
        <v>147</v>
      </c>
      <c r="D10" s="65">
        <v>1</v>
      </c>
      <c r="E10" s="61">
        <v>2.2000000000000002</v>
      </c>
      <c r="F10" s="61">
        <v>2.2000000000000002</v>
      </c>
      <c r="G10" s="60">
        <v>0.4009999999999998</v>
      </c>
      <c r="H10" s="40">
        <f t="shared" ref="H10:H14" si="0">+D10*E10*F10*G10</f>
        <v>1.9408399999999992</v>
      </c>
      <c r="I10" s="66"/>
      <c r="J10" s="74"/>
    </row>
    <row r="11" spans="1:18" ht="27.75" customHeight="1">
      <c r="A11" s="43"/>
      <c r="B11" s="250"/>
      <c r="C11" s="50" t="s">
        <v>148</v>
      </c>
      <c r="D11" s="65">
        <v>1</v>
      </c>
      <c r="E11" s="61">
        <v>3.2</v>
      </c>
      <c r="F11" s="61">
        <v>3.2</v>
      </c>
      <c r="G11" s="60">
        <v>0.45599999999999952</v>
      </c>
      <c r="H11" s="40">
        <f t="shared" si="0"/>
        <v>4.6694399999999963</v>
      </c>
      <c r="I11" s="66"/>
      <c r="J11" s="74"/>
    </row>
    <row r="12" spans="1:18" ht="27.75" customHeight="1">
      <c r="A12" s="43"/>
      <c r="B12" s="250"/>
      <c r="C12" s="50" t="s">
        <v>149</v>
      </c>
      <c r="D12" s="65">
        <v>1</v>
      </c>
      <c r="E12" s="61">
        <v>3.2</v>
      </c>
      <c r="F12" s="61">
        <v>3.2</v>
      </c>
      <c r="G12" s="60">
        <v>0.51399999999999935</v>
      </c>
      <c r="H12" s="40">
        <f t="shared" si="0"/>
        <v>5.2633599999999943</v>
      </c>
      <c r="I12" s="66"/>
      <c r="J12" s="74"/>
    </row>
    <row r="13" spans="1:18" ht="27.75" customHeight="1">
      <c r="A13" s="43"/>
      <c r="B13" s="250"/>
      <c r="C13" s="50" t="s">
        <v>150</v>
      </c>
      <c r="D13" s="65">
        <v>1</v>
      </c>
      <c r="E13" s="61">
        <v>3.2</v>
      </c>
      <c r="F13" s="61">
        <v>3.2</v>
      </c>
      <c r="G13" s="60">
        <v>0.29400000000000048</v>
      </c>
      <c r="H13" s="40">
        <f t="shared" si="0"/>
        <v>3.0105600000000057</v>
      </c>
      <c r="I13" s="66"/>
      <c r="J13" s="74"/>
    </row>
    <row r="14" spans="1:18" ht="27.75" customHeight="1">
      <c r="A14" s="43"/>
      <c r="B14" s="250"/>
      <c r="C14" s="50" t="s">
        <v>151</v>
      </c>
      <c r="D14" s="65">
        <v>1</v>
      </c>
      <c r="E14" s="61">
        <v>3.2</v>
      </c>
      <c r="F14" s="61">
        <v>3.2</v>
      </c>
      <c r="G14" s="60">
        <v>0.24299999999999855</v>
      </c>
      <c r="H14" s="40">
        <f t="shared" si="0"/>
        <v>2.4883199999999857</v>
      </c>
      <c r="I14" s="66"/>
      <c r="J14" s="74"/>
    </row>
    <row r="15" spans="1:18" ht="27.75" customHeight="1">
      <c r="A15" s="43"/>
      <c r="B15" s="250"/>
      <c r="C15" s="78" t="s">
        <v>17</v>
      </c>
      <c r="D15" s="54"/>
      <c r="E15" s="40"/>
      <c r="F15" s="40"/>
      <c r="G15" s="40"/>
      <c r="H15" s="41">
        <f>SUM(H10:H14)</f>
        <v>17.37251999999998</v>
      </c>
      <c r="I15" s="80" t="s">
        <v>16</v>
      </c>
      <c r="J15" s="74"/>
    </row>
    <row r="16" spans="1:18" ht="27.75" customHeight="1">
      <c r="A16" s="43"/>
      <c r="B16" s="250"/>
      <c r="C16" s="246"/>
      <c r="D16" s="307" t="s">
        <v>201</v>
      </c>
      <c r="E16" s="307"/>
      <c r="F16" s="307"/>
      <c r="G16" s="307"/>
      <c r="H16" s="307"/>
      <c r="I16" s="308"/>
      <c r="J16" s="74"/>
    </row>
    <row r="17" spans="1:10" ht="27.75" customHeight="1">
      <c r="A17" s="43"/>
      <c r="B17" s="250"/>
      <c r="C17" s="242"/>
      <c r="D17" s="65"/>
      <c r="E17" s="61"/>
      <c r="F17" s="61"/>
      <c r="G17" s="60"/>
      <c r="H17" s="40"/>
      <c r="I17" s="66"/>
      <c r="J17" s="74"/>
    </row>
    <row r="18" spans="1:10" ht="27.75" customHeight="1">
      <c r="A18" s="43" t="s">
        <v>136</v>
      </c>
      <c r="B18" s="250">
        <v>5.5</v>
      </c>
      <c r="C18" s="242" t="s">
        <v>138</v>
      </c>
      <c r="D18" s="65"/>
      <c r="E18" s="61"/>
      <c r="F18" s="61"/>
      <c r="G18" s="60"/>
      <c r="H18" s="40"/>
      <c r="I18" s="66"/>
      <c r="J18" s="74"/>
    </row>
    <row r="19" spans="1:10" ht="28.5">
      <c r="A19" s="74"/>
      <c r="B19" s="72"/>
      <c r="C19" s="50" t="s">
        <v>127</v>
      </c>
      <c r="D19" s="65">
        <v>1</v>
      </c>
      <c r="E19" s="61">
        <v>3.2</v>
      </c>
      <c r="F19" s="61">
        <v>3.2</v>
      </c>
      <c r="G19" s="60">
        <v>0.79400000000000048</v>
      </c>
      <c r="H19" s="40">
        <f t="shared" ref="H19:H27" si="1">+D19*E19*F19*G19</f>
        <v>8.1305600000000062</v>
      </c>
      <c r="I19" s="66"/>
      <c r="J19" s="74"/>
    </row>
    <row r="20" spans="1:10" ht="28.5">
      <c r="A20" s="74"/>
      <c r="B20" s="72"/>
      <c r="C20" s="50" t="s">
        <v>128</v>
      </c>
      <c r="D20" s="65">
        <v>1</v>
      </c>
      <c r="E20" s="61">
        <v>3.2</v>
      </c>
      <c r="F20" s="61">
        <v>3.2</v>
      </c>
      <c r="G20" s="60">
        <v>0.63100000000000023</v>
      </c>
      <c r="H20" s="40">
        <f t="shared" si="1"/>
        <v>6.4614400000000032</v>
      </c>
      <c r="I20" s="66"/>
      <c r="J20" s="74"/>
    </row>
    <row r="21" spans="1:10" ht="28.5">
      <c r="A21" s="74"/>
      <c r="B21" s="72"/>
      <c r="C21" s="50" t="s">
        <v>129</v>
      </c>
      <c r="D21" s="65">
        <v>1</v>
      </c>
      <c r="E21" s="61">
        <v>3.2</v>
      </c>
      <c r="F21" s="61">
        <v>3.2</v>
      </c>
      <c r="G21" s="60">
        <v>0.24099999999999966</v>
      </c>
      <c r="H21" s="40">
        <f t="shared" si="1"/>
        <v>2.4678399999999971</v>
      </c>
      <c r="I21" s="66"/>
      <c r="J21" s="74"/>
    </row>
    <row r="22" spans="1:10" ht="28.5">
      <c r="A22" s="74"/>
      <c r="B22" s="72"/>
      <c r="C22" s="50" t="s">
        <v>131</v>
      </c>
      <c r="D22" s="65">
        <v>1</v>
      </c>
      <c r="E22" s="61">
        <v>9.75</v>
      </c>
      <c r="F22" s="61">
        <v>3.2</v>
      </c>
      <c r="G22" s="60">
        <v>0.56599999999999895</v>
      </c>
      <c r="H22" s="40">
        <f t="shared" si="1"/>
        <v>17.65919999999997</v>
      </c>
      <c r="I22" s="66"/>
      <c r="J22" s="74"/>
    </row>
    <row r="23" spans="1:10" ht="28.5">
      <c r="A23" s="74"/>
      <c r="B23" s="72"/>
      <c r="C23" s="50" t="s">
        <v>130</v>
      </c>
      <c r="D23" s="65">
        <v>1</v>
      </c>
      <c r="E23" s="61">
        <v>3.2</v>
      </c>
      <c r="F23" s="61">
        <v>3.2</v>
      </c>
      <c r="G23" s="60">
        <v>0.35300000000000153</v>
      </c>
      <c r="H23" s="40">
        <f t="shared" si="1"/>
        <v>3.6147200000000166</v>
      </c>
      <c r="I23" s="66"/>
      <c r="J23" s="74"/>
    </row>
    <row r="24" spans="1:10" ht="28.5">
      <c r="A24" s="74"/>
      <c r="B24" s="72"/>
      <c r="C24" s="50" t="s">
        <v>132</v>
      </c>
      <c r="D24" s="65">
        <v>1</v>
      </c>
      <c r="E24" s="61">
        <v>3.2</v>
      </c>
      <c r="F24" s="61">
        <v>3.2</v>
      </c>
      <c r="G24" s="60">
        <v>0.72500000000000142</v>
      </c>
      <c r="H24" s="40">
        <f t="shared" si="1"/>
        <v>7.4240000000000164</v>
      </c>
      <c r="I24" s="66"/>
      <c r="J24" s="74"/>
    </row>
    <row r="25" spans="1:10" ht="28.5">
      <c r="A25" s="74"/>
      <c r="B25" s="72"/>
      <c r="C25" s="50" t="s">
        <v>133</v>
      </c>
      <c r="D25" s="65">
        <v>1</v>
      </c>
      <c r="E25" s="61">
        <v>3.2</v>
      </c>
      <c r="F25" s="61">
        <v>3.2</v>
      </c>
      <c r="G25" s="60">
        <v>0.50400000000000134</v>
      </c>
      <c r="H25" s="40">
        <f t="shared" si="1"/>
        <v>5.1609600000000144</v>
      </c>
      <c r="I25" s="66"/>
      <c r="J25" s="74"/>
    </row>
    <row r="26" spans="1:10" ht="28.5">
      <c r="A26" s="74"/>
      <c r="B26" s="72"/>
      <c r="C26" s="50" t="s">
        <v>134</v>
      </c>
      <c r="D26" s="65">
        <v>1</v>
      </c>
      <c r="E26" s="61">
        <v>11.025</v>
      </c>
      <c r="F26" s="61">
        <v>3.2</v>
      </c>
      <c r="G26" s="60">
        <v>0.32999999999999829</v>
      </c>
      <c r="H26" s="40">
        <f t="shared" si="1"/>
        <v>11.64239999999994</v>
      </c>
      <c r="I26" s="66"/>
      <c r="J26" s="74"/>
    </row>
    <row r="27" spans="1:10" ht="28.5">
      <c r="A27" s="74"/>
      <c r="B27" s="72"/>
      <c r="C27" s="50" t="s">
        <v>135</v>
      </c>
      <c r="D27" s="65">
        <v>1</v>
      </c>
      <c r="E27" s="61">
        <v>3.2</v>
      </c>
      <c r="F27" s="61">
        <v>3.2</v>
      </c>
      <c r="G27" s="60">
        <v>0.33200000000000074</v>
      </c>
      <c r="H27" s="40">
        <f t="shared" si="1"/>
        <v>3.399680000000008</v>
      </c>
      <c r="I27" s="66"/>
      <c r="J27" s="74"/>
    </row>
    <row r="28" spans="1:10" ht="23.1" customHeight="1">
      <c r="A28" s="74"/>
      <c r="B28" s="72"/>
      <c r="C28" s="78" t="s">
        <v>17</v>
      </c>
      <c r="D28" s="54"/>
      <c r="E28" s="40"/>
      <c r="F28" s="40"/>
      <c r="G28" s="40"/>
      <c r="H28" s="41">
        <f>SUM(H19:H27)</f>
        <v>65.960799999999978</v>
      </c>
      <c r="I28" s="80" t="s">
        <v>16</v>
      </c>
      <c r="J28" s="74"/>
    </row>
    <row r="29" spans="1:10" ht="23.1" customHeight="1">
      <c r="A29" s="74"/>
      <c r="B29" s="72"/>
      <c r="C29" s="246"/>
      <c r="D29" s="307" t="s">
        <v>202</v>
      </c>
      <c r="E29" s="307"/>
      <c r="F29" s="307"/>
      <c r="G29" s="307"/>
      <c r="H29" s="307"/>
      <c r="I29" s="308"/>
      <c r="J29" s="74"/>
    </row>
    <row r="30" spans="1:10" ht="23.1" customHeight="1">
      <c r="A30" s="74"/>
      <c r="B30" s="72"/>
      <c r="C30" s="246"/>
      <c r="D30" s="247"/>
      <c r="E30" s="248"/>
      <c r="F30" s="248"/>
      <c r="G30" s="248"/>
      <c r="H30" s="41"/>
      <c r="I30" s="80"/>
      <c r="J30" s="74"/>
    </row>
    <row r="31" spans="1:10" ht="23.1" customHeight="1">
      <c r="A31" s="74"/>
      <c r="B31" s="72"/>
      <c r="C31" s="246"/>
      <c r="D31" s="247"/>
      <c r="E31" s="248"/>
      <c r="F31" s="248"/>
      <c r="G31" s="248"/>
      <c r="H31" s="41"/>
      <c r="I31" s="80"/>
      <c r="J31" s="74"/>
    </row>
    <row r="32" spans="1:10" ht="23.1" customHeight="1">
      <c r="A32" s="43" t="s">
        <v>143</v>
      </c>
      <c r="B32" s="250">
        <v>5.5</v>
      </c>
      <c r="C32" s="242" t="s">
        <v>138</v>
      </c>
      <c r="D32" s="65"/>
      <c r="E32" s="248"/>
      <c r="F32" s="248"/>
      <c r="G32" s="248"/>
      <c r="H32" s="41"/>
      <c r="I32" s="80"/>
      <c r="J32" s="74"/>
    </row>
    <row r="33" spans="1:10" ht="28.5">
      <c r="A33" s="74"/>
      <c r="B33" s="72"/>
      <c r="C33" s="50" t="s">
        <v>139</v>
      </c>
      <c r="D33" s="65">
        <v>1</v>
      </c>
      <c r="E33" s="61">
        <v>3.2</v>
      </c>
      <c r="F33" s="61">
        <v>3.2</v>
      </c>
      <c r="G33" s="60">
        <v>0.77899999999999991</v>
      </c>
      <c r="H33" s="40">
        <f t="shared" ref="H33:H39" si="2">+D33*E33*F33*G33</f>
        <v>7.9769600000000009</v>
      </c>
      <c r="I33" s="66"/>
      <c r="J33" s="74"/>
    </row>
    <row r="34" spans="1:10" ht="28.5">
      <c r="A34" s="74"/>
      <c r="B34" s="72"/>
      <c r="C34" s="50" t="s">
        <v>140</v>
      </c>
      <c r="D34" s="65">
        <v>1</v>
      </c>
      <c r="E34" s="61">
        <v>3.2</v>
      </c>
      <c r="F34" s="61">
        <v>3.2</v>
      </c>
      <c r="G34" s="60">
        <v>1.3520000000000003</v>
      </c>
      <c r="H34" s="40">
        <f t="shared" si="2"/>
        <v>13.844480000000006</v>
      </c>
      <c r="I34" s="66"/>
      <c r="J34" s="74"/>
    </row>
    <row r="35" spans="1:10" ht="28.5">
      <c r="A35" s="74"/>
      <c r="B35" s="72"/>
      <c r="C35" s="50" t="s">
        <v>141</v>
      </c>
      <c r="D35" s="65">
        <v>1</v>
      </c>
      <c r="E35" s="61">
        <v>3.2</v>
      </c>
      <c r="F35" s="61">
        <v>3.2</v>
      </c>
      <c r="G35" s="60">
        <v>0.96399999999999864</v>
      </c>
      <c r="H35" s="40">
        <f t="shared" si="2"/>
        <v>9.8713599999999886</v>
      </c>
      <c r="I35" s="66"/>
      <c r="J35" s="74"/>
    </row>
    <row r="36" spans="1:10" ht="28.5">
      <c r="A36" s="74"/>
      <c r="B36" s="72"/>
      <c r="C36" s="50" t="s">
        <v>142</v>
      </c>
      <c r="D36" s="65">
        <v>1</v>
      </c>
      <c r="E36" s="61">
        <v>3.2</v>
      </c>
      <c r="F36" s="61">
        <v>3.2</v>
      </c>
      <c r="G36" s="60">
        <v>0.50700000000000145</v>
      </c>
      <c r="H36" s="40">
        <f t="shared" si="2"/>
        <v>5.1916800000000158</v>
      </c>
      <c r="I36" s="66"/>
      <c r="J36" s="74"/>
    </row>
    <row r="37" spans="1:10" ht="28.5">
      <c r="A37" s="74"/>
      <c r="B37" s="72"/>
      <c r="C37" s="50" t="s">
        <v>144</v>
      </c>
      <c r="D37" s="65">
        <v>1</v>
      </c>
      <c r="E37" s="61">
        <v>3.2</v>
      </c>
      <c r="F37" s="61">
        <v>3.2</v>
      </c>
      <c r="G37" s="60">
        <v>0.40899999999999892</v>
      </c>
      <c r="H37" s="40">
        <f t="shared" si="2"/>
        <v>4.1881599999999901</v>
      </c>
      <c r="I37" s="66"/>
      <c r="J37" s="74"/>
    </row>
    <row r="38" spans="1:10" ht="28.5">
      <c r="A38" s="74"/>
      <c r="B38" s="72"/>
      <c r="C38" s="50" t="s">
        <v>145</v>
      </c>
      <c r="D38" s="65">
        <v>1</v>
      </c>
      <c r="E38" s="61">
        <v>3.2</v>
      </c>
      <c r="F38" s="61">
        <v>3.2</v>
      </c>
      <c r="G38" s="60">
        <v>0.28900000000000148</v>
      </c>
      <c r="H38" s="40">
        <f t="shared" si="2"/>
        <v>2.9593600000000158</v>
      </c>
      <c r="I38" s="66"/>
      <c r="J38" s="74"/>
    </row>
    <row r="39" spans="1:10" ht="28.5">
      <c r="A39" s="74"/>
      <c r="B39" s="72"/>
      <c r="C39" s="50" t="s">
        <v>146</v>
      </c>
      <c r="D39" s="65">
        <v>1</v>
      </c>
      <c r="E39" s="61">
        <v>3.2</v>
      </c>
      <c r="F39" s="61">
        <v>3.2</v>
      </c>
      <c r="G39" s="60">
        <v>0.56299999999999883</v>
      </c>
      <c r="H39" s="40">
        <f t="shared" si="2"/>
        <v>5.7651199999999889</v>
      </c>
      <c r="I39" s="66"/>
      <c r="J39" s="74"/>
    </row>
    <row r="40" spans="1:10" ht="23.1" customHeight="1">
      <c r="A40" s="74"/>
      <c r="B40" s="72"/>
      <c r="C40" s="78" t="s">
        <v>17</v>
      </c>
      <c r="D40" s="54"/>
      <c r="E40" s="40"/>
      <c r="F40" s="40"/>
      <c r="G40" s="40"/>
      <c r="H40" s="41">
        <f>SUM(H33:H39)</f>
        <v>49.797120000000007</v>
      </c>
      <c r="I40" s="80" t="s">
        <v>16</v>
      </c>
      <c r="J40" s="74"/>
    </row>
    <row r="41" spans="1:10" ht="23.1" customHeight="1">
      <c r="A41" s="74"/>
      <c r="B41" s="72"/>
      <c r="C41" s="246"/>
      <c r="D41" s="307" t="s">
        <v>202</v>
      </c>
      <c r="E41" s="307"/>
      <c r="F41" s="307"/>
      <c r="G41" s="307"/>
      <c r="H41" s="307"/>
      <c r="I41" s="308"/>
      <c r="J41" s="74"/>
    </row>
    <row r="42" spans="1:10" ht="23.1" customHeight="1">
      <c r="A42" s="74"/>
      <c r="B42" s="72"/>
      <c r="C42" s="246"/>
      <c r="D42" s="247"/>
      <c r="E42" s="248"/>
      <c r="F42" s="248"/>
      <c r="G42" s="248"/>
      <c r="H42" s="41"/>
      <c r="I42" s="80"/>
      <c r="J42" s="74"/>
    </row>
    <row r="43" spans="1:10" ht="23.1" customHeight="1">
      <c r="A43" s="245" t="s">
        <v>121</v>
      </c>
      <c r="B43" s="250">
        <v>5.5</v>
      </c>
      <c r="C43" s="242" t="s">
        <v>138</v>
      </c>
      <c r="D43" s="65"/>
      <c r="E43" s="248"/>
      <c r="F43" s="248"/>
      <c r="G43" s="248"/>
      <c r="H43" s="41"/>
      <c r="I43" s="80"/>
      <c r="J43" s="74"/>
    </row>
    <row r="44" spans="1:10" ht="28.5">
      <c r="A44" s="74"/>
      <c r="B44" s="72"/>
      <c r="C44" s="50" t="s">
        <v>153</v>
      </c>
      <c r="D44" s="65">
        <v>1</v>
      </c>
      <c r="E44" s="61">
        <v>3.2</v>
      </c>
      <c r="F44" s="61">
        <v>3.2</v>
      </c>
      <c r="G44" s="60">
        <v>0.34600000000000009</v>
      </c>
      <c r="H44" s="40">
        <f t="shared" ref="H44:H45" si="3">+D44*E44*F44*G44</f>
        <v>3.5430400000000017</v>
      </c>
      <c r="I44" s="80"/>
      <c r="J44" s="74"/>
    </row>
    <row r="45" spans="1:10" ht="28.5">
      <c r="A45" s="74"/>
      <c r="B45" s="72"/>
      <c r="C45" s="50" t="s">
        <v>154</v>
      </c>
      <c r="D45" s="65">
        <v>1</v>
      </c>
      <c r="E45" s="61">
        <v>3.2</v>
      </c>
      <c r="F45" s="61">
        <v>3.2</v>
      </c>
      <c r="G45" s="60">
        <v>0.34499999999999886</v>
      </c>
      <c r="H45" s="40">
        <f t="shared" si="3"/>
        <v>3.5327999999999888</v>
      </c>
      <c r="I45" s="80"/>
      <c r="J45" s="74"/>
    </row>
    <row r="46" spans="1:10" ht="23.1" customHeight="1">
      <c r="A46" s="74"/>
      <c r="B46" s="72"/>
      <c r="C46" s="78" t="s">
        <v>17</v>
      </c>
      <c r="D46" s="54"/>
      <c r="E46" s="40"/>
      <c r="F46" s="40"/>
      <c r="G46" s="40"/>
      <c r="H46" s="41">
        <f>SUM(H44:H45)</f>
        <v>7.0758399999999906</v>
      </c>
      <c r="I46" s="80" t="s">
        <v>16</v>
      </c>
      <c r="J46" s="74"/>
    </row>
    <row r="47" spans="1:10" ht="23.1" customHeight="1">
      <c r="A47" s="74"/>
      <c r="B47" s="72"/>
      <c r="C47" s="246"/>
      <c r="D47" s="307" t="s">
        <v>202</v>
      </c>
      <c r="E47" s="307"/>
      <c r="F47" s="307"/>
      <c r="G47" s="307"/>
      <c r="H47" s="307"/>
      <c r="I47" s="308"/>
      <c r="J47" s="74"/>
    </row>
    <row r="48" spans="1:10" ht="23.1" customHeight="1">
      <c r="A48" s="74"/>
      <c r="B48" s="72"/>
      <c r="C48" s="50"/>
      <c r="D48" s="65"/>
      <c r="E48" s="61"/>
      <c r="F48" s="61"/>
      <c r="G48" s="60"/>
      <c r="H48" s="40"/>
      <c r="I48" s="66"/>
      <c r="J48" s="74"/>
    </row>
    <row r="49" spans="1:13" ht="23.1" customHeight="1">
      <c r="A49" s="245" t="s">
        <v>121</v>
      </c>
      <c r="B49" s="239" t="s">
        <v>86</v>
      </c>
      <c r="C49" s="242" t="s">
        <v>106</v>
      </c>
      <c r="D49" s="65"/>
      <c r="E49" s="61"/>
      <c r="F49" s="61"/>
      <c r="G49" s="60"/>
      <c r="H49" s="40"/>
      <c r="I49" s="66"/>
      <c r="M49" s="42"/>
    </row>
    <row r="50" spans="1:13" ht="23.1" customHeight="1">
      <c r="A50" s="43"/>
      <c r="B50" s="72"/>
      <c r="C50" s="244" t="s">
        <v>119</v>
      </c>
      <c r="D50" s="65">
        <v>4</v>
      </c>
      <c r="E50" s="61">
        <v>12</v>
      </c>
      <c r="F50" s="61"/>
      <c r="G50" s="60">
        <v>1.5</v>
      </c>
      <c r="H50" s="40">
        <f>+D50*E50*G50</f>
        <v>72</v>
      </c>
      <c r="I50" s="66"/>
      <c r="J50" s="74"/>
    </row>
    <row r="51" spans="1:13" ht="23.1" customHeight="1">
      <c r="A51" s="43"/>
      <c r="B51" s="72"/>
      <c r="C51" s="78" t="s">
        <v>17</v>
      </c>
      <c r="D51" s="76"/>
      <c r="E51" s="62"/>
      <c r="F51" s="62"/>
      <c r="G51" s="62"/>
      <c r="H51" s="79">
        <f>SUM(H50:H50)</f>
        <v>72</v>
      </c>
      <c r="I51" s="67" t="s">
        <v>124</v>
      </c>
      <c r="J51" s="74"/>
    </row>
    <row r="52" spans="1:13" ht="23.1" customHeight="1">
      <c r="A52" s="43"/>
      <c r="B52" s="72"/>
      <c r="C52" s="246"/>
      <c r="D52" s="307" t="s">
        <v>201</v>
      </c>
      <c r="E52" s="307"/>
      <c r="F52" s="307"/>
      <c r="G52" s="307"/>
      <c r="H52" s="307"/>
      <c r="I52" s="308"/>
      <c r="J52" s="74"/>
    </row>
    <row r="53" spans="1:13" ht="23.1" customHeight="1">
      <c r="A53" s="43"/>
      <c r="B53" s="72"/>
      <c r="C53" s="50"/>
      <c r="D53" s="65"/>
      <c r="E53" s="61"/>
      <c r="F53" s="61"/>
      <c r="G53" s="60"/>
      <c r="H53" s="40"/>
      <c r="I53" s="66"/>
      <c r="J53" s="74"/>
    </row>
    <row r="54" spans="1:13" ht="23.1" customHeight="1">
      <c r="A54" s="245" t="s">
        <v>121</v>
      </c>
      <c r="B54" s="239" t="s">
        <v>87</v>
      </c>
      <c r="C54" s="243" t="s">
        <v>120</v>
      </c>
      <c r="D54" s="65"/>
      <c r="E54" s="61"/>
      <c r="F54" s="61"/>
      <c r="G54" s="60"/>
      <c r="H54" s="40"/>
      <c r="I54" s="66"/>
      <c r="J54" s="74"/>
    </row>
    <row r="55" spans="1:13" ht="23.1" customHeight="1">
      <c r="A55" s="74"/>
      <c r="B55" s="72"/>
      <c r="C55" s="244" t="s">
        <v>119</v>
      </c>
      <c r="D55" s="65">
        <v>4</v>
      </c>
      <c r="E55" s="61">
        <v>3</v>
      </c>
      <c r="F55" s="61">
        <v>3</v>
      </c>
      <c r="G55" s="60">
        <v>1.5</v>
      </c>
      <c r="H55" s="40">
        <f>+D55*E55*F55*G55</f>
        <v>54</v>
      </c>
      <c r="I55" s="66"/>
      <c r="J55" s="74"/>
    </row>
    <row r="56" spans="1:13" ht="23.1" customHeight="1">
      <c r="A56" s="74"/>
      <c r="B56" s="72"/>
      <c r="C56" s="78" t="s">
        <v>17</v>
      </c>
      <c r="D56" s="76"/>
      <c r="E56" s="62"/>
      <c r="F56" s="62"/>
      <c r="G56" s="62"/>
      <c r="H56" s="79">
        <f>SUM(H55:H55)</f>
        <v>54</v>
      </c>
      <c r="I56" s="67" t="s">
        <v>16</v>
      </c>
      <c r="J56" s="74"/>
    </row>
    <row r="57" spans="1:13" ht="23.1" customHeight="1">
      <c r="A57" s="74"/>
      <c r="B57" s="72"/>
      <c r="C57" s="50"/>
      <c r="D57" s="307" t="s">
        <v>201</v>
      </c>
      <c r="E57" s="307"/>
      <c r="F57" s="307"/>
      <c r="G57" s="307"/>
      <c r="H57" s="307"/>
      <c r="I57" s="308"/>
      <c r="J57" s="74"/>
    </row>
    <row r="58" spans="1:13" ht="23.1" customHeight="1">
      <c r="A58" s="74"/>
      <c r="B58" s="72"/>
      <c r="C58" s="50"/>
      <c r="D58" s="65"/>
      <c r="E58" s="61"/>
      <c r="F58" s="61"/>
      <c r="G58" s="60"/>
      <c r="H58" s="40"/>
      <c r="I58" s="66"/>
      <c r="J58" s="74"/>
    </row>
    <row r="59" spans="1:13" ht="31.5" customHeight="1">
      <c r="A59" s="74"/>
      <c r="B59" s="283">
        <v>5.5</v>
      </c>
      <c r="C59" s="284" t="s">
        <v>198</v>
      </c>
      <c r="D59" s="76"/>
      <c r="E59" s="62"/>
      <c r="F59" s="62"/>
      <c r="G59" s="62"/>
      <c r="H59" s="62"/>
      <c r="I59" s="67"/>
      <c r="J59" s="74"/>
    </row>
    <row r="60" spans="1:13" ht="23.1" customHeight="1">
      <c r="A60" s="74"/>
      <c r="B60" s="72"/>
      <c r="C60" s="51" t="s">
        <v>199</v>
      </c>
      <c r="D60" s="76"/>
      <c r="E60" s="62"/>
      <c r="F60" s="62"/>
      <c r="G60" s="62"/>
      <c r="H60" s="61">
        <f>+H28</f>
        <v>65.960799999999978</v>
      </c>
      <c r="I60" s="67"/>
      <c r="J60" s="74"/>
    </row>
    <row r="61" spans="1:13" ht="23.1" customHeight="1">
      <c r="A61" s="74"/>
      <c r="B61" s="72"/>
      <c r="C61" s="51" t="s">
        <v>200</v>
      </c>
      <c r="D61" s="76"/>
      <c r="E61" s="62"/>
      <c r="F61" s="62"/>
      <c r="G61" s="62"/>
      <c r="H61" s="61">
        <f>+H40</f>
        <v>49.797120000000007</v>
      </c>
      <c r="I61" s="67"/>
      <c r="J61" s="74"/>
    </row>
    <row r="62" spans="1:13" ht="23.1" customHeight="1">
      <c r="A62" s="74"/>
      <c r="B62" s="72"/>
      <c r="C62" s="51" t="s">
        <v>200</v>
      </c>
      <c r="D62" s="76"/>
      <c r="E62" s="62"/>
      <c r="F62" s="62"/>
      <c r="G62" s="62"/>
      <c r="H62" s="61">
        <f>+H46</f>
        <v>7.0758399999999906</v>
      </c>
      <c r="I62" s="67"/>
      <c r="J62" s="74"/>
    </row>
    <row r="63" spans="1:13" ht="23.1" customHeight="1">
      <c r="A63" s="74"/>
      <c r="B63" s="72"/>
      <c r="C63" s="78" t="s">
        <v>17</v>
      </c>
      <c r="D63" s="76"/>
      <c r="E63" s="62"/>
      <c r="F63" s="62"/>
      <c r="G63" s="62"/>
      <c r="H63" s="285">
        <f>H60+H61+H62</f>
        <v>122.83375999999997</v>
      </c>
      <c r="I63" s="67" t="s">
        <v>16</v>
      </c>
      <c r="J63" s="74"/>
    </row>
    <row r="64" spans="1:13" ht="23.1" customHeight="1">
      <c r="A64" s="74"/>
      <c r="B64" s="72"/>
      <c r="C64" s="51"/>
      <c r="D64" s="307" t="s">
        <v>201</v>
      </c>
      <c r="E64" s="307"/>
      <c r="F64" s="307"/>
      <c r="G64" s="307"/>
      <c r="H64" s="307"/>
      <c r="I64" s="308"/>
      <c r="J64" s="74"/>
    </row>
    <row r="65" spans="1:10" ht="23.1" customHeight="1">
      <c r="A65" s="74"/>
      <c r="B65" s="72"/>
      <c r="C65" s="50"/>
      <c r="D65" s="65"/>
      <c r="E65" s="61"/>
      <c r="F65" s="61"/>
      <c r="G65" s="60"/>
      <c r="H65" s="40"/>
      <c r="I65" s="66"/>
      <c r="J65" s="74"/>
    </row>
    <row r="66" spans="1:10" ht="23.1" customHeight="1">
      <c r="A66" s="74"/>
      <c r="B66" s="72"/>
      <c r="C66" s="50"/>
      <c r="D66" s="65"/>
      <c r="E66" s="61"/>
      <c r="F66" s="61"/>
      <c r="G66" s="60"/>
      <c r="H66" s="40"/>
      <c r="I66" s="66"/>
      <c r="J66" s="74"/>
    </row>
    <row r="67" spans="1:10" ht="23.1" customHeight="1">
      <c r="A67" s="74"/>
      <c r="B67" s="72"/>
      <c r="C67" s="50"/>
      <c r="D67" s="65"/>
      <c r="E67" s="61"/>
      <c r="F67" s="61"/>
      <c r="G67" s="60"/>
      <c r="H67" s="40"/>
      <c r="I67" s="66"/>
      <c r="J67" s="74"/>
    </row>
    <row r="68" spans="1:10" ht="23.1" customHeight="1">
      <c r="A68" s="74"/>
      <c r="B68" s="72"/>
      <c r="C68" s="50"/>
      <c r="D68" s="65"/>
      <c r="E68" s="61"/>
      <c r="F68" s="61"/>
      <c r="G68" s="60"/>
      <c r="H68" s="40"/>
      <c r="I68" s="66"/>
      <c r="J68" s="74"/>
    </row>
    <row r="69" spans="1:10" ht="23.1" customHeight="1">
      <c r="A69" s="74"/>
      <c r="B69" s="72"/>
      <c r="C69" s="50"/>
      <c r="D69" s="65"/>
      <c r="E69" s="61"/>
      <c r="F69" s="61"/>
      <c r="G69" s="60"/>
      <c r="H69" s="40"/>
      <c r="I69" s="66"/>
      <c r="J69" s="74"/>
    </row>
    <row r="70" spans="1:10" ht="23.1" customHeight="1">
      <c r="A70" s="74"/>
      <c r="B70" s="72"/>
      <c r="C70" s="50"/>
      <c r="D70" s="65"/>
      <c r="E70" s="61"/>
      <c r="F70" s="61"/>
      <c r="G70" s="60"/>
      <c r="H70" s="40"/>
      <c r="I70" s="66"/>
      <c r="J70" s="74"/>
    </row>
    <row r="71" spans="1:10" ht="23.1" customHeight="1">
      <c r="A71" s="74"/>
      <c r="B71" s="72"/>
      <c r="C71" s="50"/>
      <c r="D71" s="65"/>
      <c r="E71" s="61"/>
      <c r="F71" s="61"/>
      <c r="G71" s="60"/>
      <c r="H71" s="40"/>
      <c r="I71" s="66"/>
      <c r="J71" s="74"/>
    </row>
    <row r="72" spans="1:10" ht="23.1" customHeight="1">
      <c r="A72" s="74"/>
      <c r="B72" s="72"/>
      <c r="C72" s="50"/>
      <c r="D72" s="65"/>
      <c r="E72" s="61"/>
      <c r="F72" s="61"/>
      <c r="G72" s="60"/>
      <c r="H72" s="40"/>
      <c r="I72" s="66"/>
      <c r="J72" s="74"/>
    </row>
    <row r="73" spans="1:10">
      <c r="A73" s="215"/>
      <c r="B73" s="216"/>
      <c r="C73" s="217"/>
      <c r="D73" s="218"/>
      <c r="E73" s="219"/>
      <c r="F73" s="219"/>
      <c r="G73" s="219"/>
      <c r="H73" s="219"/>
      <c r="I73" s="220"/>
    </row>
    <row r="74" spans="1:10">
      <c r="A74" s="75"/>
      <c r="B74" s="45"/>
      <c r="C74" s="49"/>
      <c r="D74" s="77"/>
      <c r="E74" s="63"/>
      <c r="F74" s="63"/>
      <c r="G74" s="63"/>
      <c r="H74" s="63"/>
      <c r="I74" s="68"/>
    </row>
    <row r="75" spans="1:10">
      <c r="A75" s="75"/>
      <c r="B75" s="45"/>
      <c r="C75" s="49"/>
      <c r="D75" s="77"/>
      <c r="E75" s="63"/>
      <c r="F75" s="63"/>
      <c r="G75" s="63"/>
      <c r="H75" s="63"/>
      <c r="I75" s="68"/>
    </row>
    <row r="76" spans="1:10">
      <c r="A76" s="75"/>
      <c r="B76" s="45"/>
      <c r="C76" s="49"/>
      <c r="D76" s="77"/>
      <c r="E76" s="63"/>
      <c r="F76" s="63"/>
      <c r="G76" s="63"/>
      <c r="H76" s="63"/>
      <c r="I76" s="68"/>
    </row>
    <row r="77" spans="1:10">
      <c r="A77" s="75"/>
      <c r="B77" s="45"/>
      <c r="C77" s="49"/>
      <c r="D77" s="77"/>
      <c r="E77" s="63"/>
      <c r="F77" s="63"/>
      <c r="G77" s="63"/>
      <c r="H77" s="63"/>
      <c r="I77" s="68"/>
    </row>
    <row r="78" spans="1:10">
      <c r="A78" s="75"/>
      <c r="B78" s="45"/>
      <c r="C78" s="49"/>
      <c r="D78" s="77"/>
      <c r="E78" s="63"/>
      <c r="F78" s="63"/>
      <c r="G78" s="63"/>
      <c r="H78" s="63"/>
      <c r="I78" s="68"/>
    </row>
    <row r="79" spans="1:10">
      <c r="A79" s="75"/>
      <c r="B79" s="45"/>
      <c r="C79" s="49"/>
      <c r="D79" s="77"/>
      <c r="E79" s="63"/>
      <c r="F79" s="63"/>
      <c r="G79" s="63"/>
      <c r="H79" s="63"/>
      <c r="I79" s="68"/>
    </row>
    <row r="80" spans="1:10">
      <c r="A80" s="75"/>
      <c r="B80" s="45"/>
      <c r="C80" s="49"/>
      <c r="D80" s="77"/>
      <c r="E80" s="63"/>
      <c r="F80" s="63"/>
      <c r="G80" s="63"/>
      <c r="H80" s="63"/>
      <c r="I80" s="68"/>
    </row>
    <row r="81" spans="1:9">
      <c r="A81" s="75"/>
      <c r="B81" s="45"/>
      <c r="C81" s="49"/>
      <c r="D81" s="77"/>
      <c r="E81" s="63"/>
      <c r="F81" s="63"/>
      <c r="G81" s="63"/>
      <c r="H81" s="63"/>
      <c r="I81" s="68"/>
    </row>
    <row r="82" spans="1:9">
      <c r="A82" s="75"/>
      <c r="B82" s="45"/>
      <c r="C82" s="49"/>
      <c r="D82" s="77"/>
      <c r="E82" s="63"/>
      <c r="F82" s="63"/>
      <c r="G82" s="63"/>
      <c r="H82" s="63"/>
      <c r="I82" s="68"/>
    </row>
    <row r="83" spans="1:9">
      <c r="A83" s="75"/>
      <c r="B83" s="45"/>
      <c r="C83" s="49"/>
      <c r="D83" s="77"/>
      <c r="E83" s="63"/>
      <c r="F83" s="63"/>
      <c r="G83" s="63"/>
      <c r="H83" s="63"/>
      <c r="I83" s="68"/>
    </row>
    <row r="84" spans="1:9">
      <c r="A84" s="75"/>
      <c r="B84" s="45"/>
      <c r="C84" s="49"/>
      <c r="D84" s="77"/>
      <c r="E84" s="63"/>
      <c r="F84" s="63"/>
      <c r="G84" s="63"/>
      <c r="H84" s="63"/>
      <c r="I84" s="68"/>
    </row>
    <row r="85" spans="1:9">
      <c r="A85" s="75"/>
      <c r="B85" s="45"/>
      <c r="C85" s="49"/>
      <c r="D85" s="77"/>
      <c r="E85" s="63"/>
      <c r="F85" s="63"/>
      <c r="G85" s="63"/>
      <c r="H85" s="63"/>
      <c r="I85" s="68"/>
    </row>
    <row r="86" spans="1:9">
      <c r="A86" s="75"/>
      <c r="B86" s="45"/>
      <c r="C86" s="49"/>
      <c r="D86" s="77"/>
      <c r="E86" s="63"/>
      <c r="F86" s="63"/>
      <c r="G86" s="63"/>
      <c r="H86" s="63"/>
      <c r="I86" s="68"/>
    </row>
    <row r="87" spans="1:9">
      <c r="A87" s="75"/>
      <c r="B87" s="45"/>
      <c r="C87" s="49"/>
      <c r="D87" s="77"/>
      <c r="E87" s="63"/>
      <c r="F87" s="63"/>
      <c r="G87" s="63"/>
      <c r="H87" s="63"/>
      <c r="I87" s="68"/>
    </row>
    <row r="88" spans="1:9">
      <c r="A88" s="75"/>
      <c r="B88" s="45"/>
      <c r="C88" s="49"/>
      <c r="D88" s="77"/>
      <c r="E88" s="63"/>
      <c r="F88" s="63"/>
      <c r="G88" s="63"/>
      <c r="H88" s="63"/>
      <c r="I88" s="68"/>
    </row>
    <row r="89" spans="1:9">
      <c r="A89" s="75"/>
      <c r="B89" s="45"/>
      <c r="C89" s="49"/>
      <c r="D89" s="77"/>
      <c r="E89" s="63"/>
      <c r="F89" s="63"/>
      <c r="G89" s="63"/>
      <c r="H89" s="63"/>
      <c r="I89" s="68"/>
    </row>
    <row r="90" spans="1:9">
      <c r="A90" s="75"/>
      <c r="B90" s="45"/>
      <c r="C90" s="49"/>
      <c r="D90" s="77"/>
      <c r="E90" s="63"/>
      <c r="F90" s="63"/>
      <c r="G90" s="63"/>
      <c r="H90" s="63"/>
      <c r="I90" s="68"/>
    </row>
    <row r="91" spans="1:9">
      <c r="A91" s="75"/>
      <c r="B91" s="45"/>
      <c r="C91" s="49"/>
      <c r="D91" s="77"/>
      <c r="E91" s="63"/>
      <c r="F91" s="63"/>
      <c r="G91" s="63"/>
      <c r="H91" s="63"/>
      <c r="I91" s="68"/>
    </row>
    <row r="92" spans="1:9">
      <c r="A92" s="75"/>
      <c r="B92" s="45"/>
      <c r="C92" s="49"/>
      <c r="D92" s="77"/>
      <c r="E92" s="63"/>
      <c r="F92" s="63"/>
      <c r="G92" s="63"/>
      <c r="H92" s="63"/>
      <c r="I92" s="68"/>
    </row>
    <row r="93" spans="1:9">
      <c r="A93" s="75"/>
      <c r="B93" s="45"/>
      <c r="C93" s="49"/>
      <c r="D93" s="77"/>
      <c r="E93" s="63"/>
      <c r="F93" s="63"/>
      <c r="G93" s="63"/>
      <c r="H93" s="63"/>
      <c r="I93" s="68"/>
    </row>
    <row r="94" spans="1:9">
      <c r="A94" s="75"/>
      <c r="B94" s="45"/>
      <c r="C94" s="49"/>
      <c r="D94" s="77"/>
      <c r="E94" s="63"/>
      <c r="F94" s="63"/>
      <c r="G94" s="63"/>
      <c r="H94" s="63"/>
      <c r="I94" s="68"/>
    </row>
    <row r="95" spans="1:9">
      <c r="A95" s="44"/>
      <c r="B95" s="45"/>
      <c r="C95" s="49"/>
      <c r="D95" s="77"/>
      <c r="E95" s="63"/>
      <c r="F95" s="63"/>
      <c r="G95" s="63"/>
      <c r="H95" s="63"/>
      <c r="I95" s="68"/>
    </row>
    <row r="96" spans="1:9">
      <c r="A96" s="44"/>
      <c r="B96" s="45"/>
      <c r="C96" s="49"/>
      <c r="D96" s="77"/>
      <c r="E96" s="63"/>
      <c r="F96" s="63"/>
      <c r="G96" s="63"/>
      <c r="H96" s="63"/>
      <c r="I96" s="68"/>
    </row>
    <row r="97" spans="1:9">
      <c r="A97" s="44"/>
      <c r="B97" s="45"/>
      <c r="C97" s="49"/>
      <c r="D97" s="77"/>
      <c r="E97" s="63"/>
      <c r="F97" s="63"/>
      <c r="G97" s="63"/>
      <c r="H97" s="63"/>
      <c r="I97" s="68"/>
    </row>
    <row r="98" spans="1:9">
      <c r="A98" s="44"/>
      <c r="B98" s="45"/>
      <c r="C98" s="49"/>
      <c r="D98" s="77"/>
      <c r="E98" s="63"/>
      <c r="F98" s="63"/>
      <c r="G98" s="63"/>
      <c r="H98" s="63"/>
      <c r="I98" s="68"/>
    </row>
    <row r="99" spans="1:9">
      <c r="A99" s="44"/>
      <c r="B99" s="45"/>
      <c r="C99" s="49"/>
      <c r="D99" s="77"/>
      <c r="E99" s="63"/>
      <c r="F99" s="63"/>
      <c r="G99" s="63"/>
      <c r="H99" s="63"/>
      <c r="I99" s="68"/>
    </row>
    <row r="100" spans="1:9">
      <c r="A100" s="44"/>
      <c r="B100" s="45"/>
      <c r="C100" s="49"/>
      <c r="D100" s="77"/>
      <c r="E100" s="63"/>
      <c r="F100" s="63"/>
      <c r="G100" s="63"/>
      <c r="H100" s="63"/>
      <c r="I100" s="68"/>
    </row>
    <row r="101" spans="1:9">
      <c r="A101" s="44"/>
      <c r="B101" s="45"/>
      <c r="C101" s="49"/>
      <c r="D101" s="77"/>
      <c r="E101" s="63"/>
      <c r="F101" s="63"/>
      <c r="G101" s="63"/>
      <c r="H101" s="63"/>
      <c r="I101" s="68"/>
    </row>
    <row r="102" spans="1:9">
      <c r="A102" s="46"/>
      <c r="B102" s="47"/>
      <c r="C102" s="52"/>
      <c r="D102" s="69"/>
      <c r="E102" s="46"/>
      <c r="F102" s="46"/>
      <c r="G102" s="46"/>
      <c r="H102" s="46"/>
      <c r="I102" s="69"/>
    </row>
    <row r="103" spans="1:9">
      <c r="A103" s="46"/>
      <c r="B103" s="47"/>
      <c r="C103" s="52"/>
      <c r="D103" s="69"/>
      <c r="E103" s="46"/>
      <c r="F103" s="46"/>
      <c r="G103" s="46"/>
      <c r="H103" s="46"/>
      <c r="I103" s="69"/>
    </row>
    <row r="104" spans="1:9">
      <c r="A104" s="46"/>
      <c r="B104" s="47"/>
      <c r="C104" s="52"/>
      <c r="D104" s="69"/>
      <c r="E104" s="46"/>
      <c r="F104" s="46"/>
      <c r="G104" s="46"/>
      <c r="H104" s="46"/>
      <c r="I104" s="69"/>
    </row>
    <row r="105" spans="1:9">
      <c r="A105" s="46"/>
      <c r="B105" s="47"/>
      <c r="C105" s="52"/>
      <c r="D105" s="69"/>
      <c r="E105" s="46"/>
      <c r="F105" s="46"/>
      <c r="G105" s="46"/>
      <c r="H105" s="46"/>
      <c r="I105" s="69"/>
    </row>
    <row r="106" spans="1:9">
      <c r="A106" s="46"/>
      <c r="B106" s="47"/>
      <c r="C106" s="52"/>
      <c r="D106" s="69"/>
      <c r="E106" s="46"/>
      <c r="F106" s="46"/>
      <c r="G106" s="46"/>
      <c r="H106" s="46"/>
      <c r="I106" s="69"/>
    </row>
    <row r="107" spans="1:9">
      <c r="A107" s="46"/>
      <c r="B107" s="47"/>
      <c r="C107" s="52"/>
      <c r="D107" s="69"/>
      <c r="E107" s="46"/>
      <c r="F107" s="46"/>
      <c r="G107" s="46"/>
      <c r="H107" s="46"/>
      <c r="I107" s="69"/>
    </row>
    <row r="108" spans="1:9">
      <c r="A108" s="46"/>
      <c r="B108" s="47"/>
      <c r="C108" s="52"/>
      <c r="D108" s="69"/>
      <c r="E108" s="46"/>
      <c r="F108" s="46"/>
      <c r="G108" s="46"/>
      <c r="H108" s="46"/>
      <c r="I108" s="69"/>
    </row>
    <row r="109" spans="1:9">
      <c r="A109" s="46"/>
      <c r="B109" s="47"/>
      <c r="C109" s="52"/>
      <c r="D109" s="69"/>
      <c r="E109" s="46"/>
      <c r="F109" s="46"/>
      <c r="G109" s="46"/>
      <c r="H109" s="46"/>
      <c r="I109" s="69"/>
    </row>
    <row r="110" spans="1:9">
      <c r="A110" s="46"/>
      <c r="B110" s="47"/>
      <c r="C110" s="52"/>
      <c r="D110" s="69"/>
      <c r="E110" s="46"/>
      <c r="F110" s="46"/>
      <c r="G110" s="46"/>
      <c r="H110" s="46"/>
      <c r="I110" s="69"/>
    </row>
    <row r="111" spans="1:9">
      <c r="A111" s="46"/>
      <c r="B111" s="47"/>
      <c r="C111" s="52"/>
      <c r="D111" s="69"/>
      <c r="E111" s="46"/>
      <c r="F111" s="46"/>
      <c r="G111" s="46"/>
      <c r="H111" s="46"/>
      <c r="I111" s="69"/>
    </row>
    <row r="112" spans="1:9">
      <c r="A112" s="46"/>
      <c r="B112" s="47"/>
      <c r="C112" s="52"/>
      <c r="D112" s="69"/>
      <c r="E112" s="46"/>
      <c r="F112" s="46"/>
      <c r="G112" s="46"/>
      <c r="H112" s="46"/>
      <c r="I112" s="69"/>
    </row>
    <row r="113" spans="1:9">
      <c r="A113" s="46"/>
      <c r="B113" s="47"/>
      <c r="C113" s="52"/>
      <c r="D113" s="69"/>
      <c r="E113" s="46"/>
      <c r="F113" s="46"/>
      <c r="G113" s="46"/>
      <c r="H113" s="46"/>
      <c r="I113" s="69"/>
    </row>
    <row r="114" spans="1:9">
      <c r="A114" s="46"/>
      <c r="B114" s="47"/>
      <c r="C114" s="52"/>
      <c r="D114" s="69"/>
      <c r="E114" s="46"/>
      <c r="F114" s="46"/>
      <c r="G114" s="46"/>
      <c r="H114" s="46"/>
      <c r="I114" s="69"/>
    </row>
    <row r="115" spans="1:9">
      <c r="A115" s="46"/>
      <c r="B115" s="47"/>
      <c r="C115" s="52"/>
      <c r="D115" s="69"/>
      <c r="E115" s="46"/>
      <c r="F115" s="46"/>
      <c r="G115" s="46"/>
      <c r="H115" s="46"/>
      <c r="I115" s="69"/>
    </row>
    <row r="116" spans="1:9">
      <c r="A116" s="46"/>
      <c r="B116" s="47"/>
      <c r="C116" s="52"/>
      <c r="D116" s="69"/>
      <c r="E116" s="46"/>
      <c r="F116" s="46"/>
      <c r="G116" s="46"/>
      <c r="H116" s="46"/>
      <c r="I116" s="69"/>
    </row>
    <row r="117" spans="1:9">
      <c r="A117" s="46"/>
      <c r="B117" s="47"/>
      <c r="C117" s="52"/>
      <c r="D117" s="69"/>
      <c r="E117" s="46"/>
      <c r="F117" s="46"/>
      <c r="G117" s="46"/>
      <c r="H117" s="46"/>
      <c r="I117" s="69"/>
    </row>
    <row r="118" spans="1:9">
      <c r="A118" s="46"/>
      <c r="B118" s="47"/>
      <c r="C118" s="52"/>
      <c r="D118" s="69"/>
      <c r="E118" s="46"/>
      <c r="F118" s="46"/>
      <c r="G118" s="46"/>
      <c r="H118" s="46"/>
      <c r="I118" s="69"/>
    </row>
    <row r="119" spans="1:9">
      <c r="A119" s="46"/>
      <c r="B119" s="47"/>
      <c r="C119" s="52"/>
      <c r="D119" s="69"/>
      <c r="E119" s="46"/>
      <c r="F119" s="46"/>
      <c r="G119" s="46"/>
      <c r="H119" s="46"/>
      <c r="I119" s="69"/>
    </row>
    <row r="120" spans="1:9">
      <c r="A120" s="46"/>
      <c r="B120" s="47"/>
      <c r="C120" s="52"/>
      <c r="D120" s="69"/>
      <c r="E120" s="46"/>
      <c r="F120" s="46"/>
      <c r="G120" s="46"/>
      <c r="H120" s="46"/>
      <c r="I120" s="69"/>
    </row>
    <row r="121" spans="1:9">
      <c r="A121" s="46"/>
      <c r="B121" s="47"/>
      <c r="C121" s="52"/>
      <c r="D121" s="69"/>
      <c r="E121" s="46"/>
      <c r="F121" s="46"/>
      <c r="G121" s="46"/>
      <c r="H121" s="46"/>
      <c r="I121" s="69"/>
    </row>
    <row r="122" spans="1:9">
      <c r="A122" s="46"/>
      <c r="B122" s="47"/>
      <c r="C122" s="52"/>
      <c r="D122" s="69"/>
      <c r="E122" s="46"/>
      <c r="F122" s="46"/>
      <c r="G122" s="46"/>
      <c r="H122" s="46"/>
      <c r="I122" s="69"/>
    </row>
    <row r="123" spans="1:9">
      <c r="A123" s="46"/>
      <c r="B123" s="47"/>
      <c r="C123" s="52"/>
      <c r="D123" s="69"/>
      <c r="E123" s="46"/>
      <c r="F123" s="46"/>
      <c r="G123" s="46"/>
      <c r="H123" s="46"/>
      <c r="I123" s="69"/>
    </row>
    <row r="124" spans="1:9">
      <c r="A124" s="46"/>
      <c r="B124" s="47"/>
      <c r="C124" s="52"/>
      <c r="D124" s="69"/>
      <c r="E124" s="46"/>
      <c r="F124" s="46"/>
      <c r="G124" s="46"/>
      <c r="H124" s="46"/>
      <c r="I124" s="69"/>
    </row>
    <row r="125" spans="1:9">
      <c r="A125" s="46"/>
      <c r="B125" s="47"/>
      <c r="C125" s="52"/>
      <c r="D125" s="69"/>
      <c r="E125" s="46"/>
      <c r="F125" s="46"/>
      <c r="G125" s="46"/>
      <c r="H125" s="46"/>
      <c r="I125" s="69"/>
    </row>
    <row r="126" spans="1:9">
      <c r="A126" s="46"/>
      <c r="B126" s="47"/>
      <c r="C126" s="52"/>
      <c r="D126" s="69"/>
      <c r="E126" s="46"/>
      <c r="F126" s="46"/>
      <c r="G126" s="46"/>
      <c r="H126" s="46"/>
      <c r="I126" s="69"/>
    </row>
    <row r="127" spans="1:9">
      <c r="A127" s="46"/>
      <c r="B127" s="47"/>
      <c r="C127" s="52"/>
      <c r="D127" s="69"/>
      <c r="E127" s="46"/>
      <c r="F127" s="46"/>
      <c r="G127" s="46"/>
      <c r="H127" s="46"/>
      <c r="I127" s="69"/>
    </row>
    <row r="128" spans="1:9">
      <c r="A128" s="46"/>
      <c r="B128" s="47"/>
      <c r="C128" s="52"/>
      <c r="D128" s="69"/>
      <c r="E128" s="46"/>
      <c r="F128" s="46"/>
      <c r="G128" s="46"/>
      <c r="H128" s="46"/>
      <c r="I128" s="69"/>
    </row>
    <row r="129" spans="1:9">
      <c r="A129" s="46"/>
      <c r="B129" s="47"/>
      <c r="C129" s="52"/>
      <c r="D129" s="69"/>
      <c r="E129" s="46"/>
      <c r="F129" s="46"/>
      <c r="G129" s="46"/>
      <c r="H129" s="46"/>
      <c r="I129" s="69"/>
    </row>
    <row r="130" spans="1:9">
      <c r="A130" s="46"/>
      <c r="B130" s="47"/>
      <c r="C130" s="52"/>
      <c r="D130" s="69"/>
      <c r="E130" s="46"/>
      <c r="F130" s="46"/>
      <c r="G130" s="46"/>
      <c r="H130" s="46"/>
      <c r="I130" s="69"/>
    </row>
    <row r="131" spans="1:9">
      <c r="A131" s="46"/>
      <c r="B131" s="47"/>
      <c r="C131" s="52"/>
      <c r="D131" s="69"/>
      <c r="E131" s="46"/>
      <c r="F131" s="46"/>
      <c r="G131" s="46"/>
      <c r="H131" s="46"/>
      <c r="I131" s="69"/>
    </row>
    <row r="132" spans="1:9">
      <c r="A132" s="46"/>
      <c r="B132" s="47"/>
      <c r="C132" s="52"/>
      <c r="D132" s="69"/>
      <c r="E132" s="46"/>
      <c r="F132" s="46"/>
      <c r="G132" s="46"/>
      <c r="H132" s="46"/>
      <c r="I132" s="69"/>
    </row>
    <row r="133" spans="1:9">
      <c r="A133" s="46"/>
      <c r="B133" s="47"/>
      <c r="C133" s="52"/>
      <c r="D133" s="69"/>
      <c r="E133" s="46"/>
      <c r="F133" s="46"/>
      <c r="G133" s="46"/>
      <c r="H133" s="46"/>
      <c r="I133" s="69"/>
    </row>
    <row r="134" spans="1:9">
      <c r="A134" s="46"/>
      <c r="B134" s="47"/>
      <c r="C134" s="52"/>
      <c r="D134" s="69"/>
      <c r="E134" s="46"/>
      <c r="F134" s="46"/>
      <c r="G134" s="46"/>
      <c r="H134" s="46"/>
      <c r="I134" s="69"/>
    </row>
    <row r="135" spans="1:9">
      <c r="A135" s="46"/>
      <c r="B135" s="47"/>
      <c r="C135" s="52"/>
      <c r="D135" s="69"/>
      <c r="E135" s="46"/>
      <c r="F135" s="46"/>
      <c r="G135" s="46"/>
      <c r="H135" s="46"/>
      <c r="I135" s="69"/>
    </row>
    <row r="136" spans="1:9">
      <c r="A136" s="46"/>
      <c r="B136" s="47"/>
      <c r="C136" s="52"/>
      <c r="D136" s="69"/>
      <c r="E136" s="46"/>
      <c r="F136" s="46"/>
      <c r="G136" s="46"/>
      <c r="H136" s="46"/>
      <c r="I136" s="69"/>
    </row>
    <row r="137" spans="1:9">
      <c r="A137" s="46"/>
      <c r="B137" s="47"/>
      <c r="C137" s="52"/>
      <c r="D137" s="69"/>
      <c r="E137" s="46"/>
      <c r="F137" s="46"/>
      <c r="G137" s="46"/>
      <c r="H137" s="46"/>
      <c r="I137" s="69"/>
    </row>
    <row r="138" spans="1:9">
      <c r="A138" s="46"/>
      <c r="B138" s="47"/>
      <c r="C138" s="52"/>
      <c r="D138" s="69"/>
      <c r="E138" s="46"/>
      <c r="F138" s="46"/>
      <c r="G138" s="46"/>
      <c r="H138" s="46"/>
      <c r="I138" s="69"/>
    </row>
    <row r="139" spans="1:9">
      <c r="A139" s="46"/>
      <c r="B139" s="47"/>
      <c r="C139" s="52"/>
      <c r="D139" s="69"/>
      <c r="E139" s="46"/>
      <c r="F139" s="46"/>
      <c r="G139" s="46"/>
      <c r="H139" s="46"/>
      <c r="I139" s="69"/>
    </row>
    <row r="140" spans="1:9">
      <c r="A140" s="46"/>
      <c r="B140" s="47"/>
      <c r="C140" s="52"/>
      <c r="D140" s="69"/>
      <c r="E140" s="46"/>
      <c r="F140" s="46"/>
      <c r="G140" s="46"/>
      <c r="H140" s="46"/>
      <c r="I140" s="69"/>
    </row>
    <row r="141" spans="1:9">
      <c r="A141" s="46"/>
      <c r="B141" s="47"/>
      <c r="C141" s="52"/>
      <c r="D141" s="69"/>
      <c r="E141" s="46"/>
      <c r="F141" s="46"/>
      <c r="G141" s="46"/>
      <c r="H141" s="46"/>
      <c r="I141" s="69"/>
    </row>
    <row r="142" spans="1:9">
      <c r="A142" s="46"/>
      <c r="B142" s="47"/>
      <c r="C142" s="52"/>
      <c r="D142" s="69"/>
      <c r="E142" s="46"/>
      <c r="F142" s="46"/>
      <c r="G142" s="46"/>
      <c r="H142" s="46"/>
      <c r="I142" s="69"/>
    </row>
    <row r="143" spans="1:9">
      <c r="A143" s="46"/>
      <c r="B143" s="47"/>
      <c r="C143" s="52"/>
      <c r="D143" s="69"/>
      <c r="E143" s="46"/>
      <c r="F143" s="46"/>
      <c r="G143" s="46"/>
      <c r="H143" s="46"/>
      <c r="I143" s="69"/>
    </row>
    <row r="144" spans="1:9">
      <c r="A144" s="46"/>
      <c r="B144" s="47"/>
      <c r="C144" s="52"/>
      <c r="D144" s="69"/>
      <c r="E144" s="46"/>
      <c r="F144" s="46"/>
      <c r="G144" s="46"/>
      <c r="H144" s="46"/>
      <c r="I144" s="69"/>
    </row>
    <row r="145" spans="1:9">
      <c r="A145" s="46"/>
      <c r="B145" s="47"/>
      <c r="C145" s="52"/>
      <c r="D145" s="69"/>
      <c r="E145" s="46"/>
      <c r="F145" s="46"/>
      <c r="G145" s="46"/>
      <c r="H145" s="46"/>
      <c r="I145" s="69"/>
    </row>
    <row r="146" spans="1:9">
      <c r="A146" s="46"/>
      <c r="B146" s="47"/>
      <c r="C146" s="52"/>
      <c r="D146" s="69"/>
      <c r="E146" s="46"/>
      <c r="F146" s="46"/>
      <c r="G146" s="46"/>
      <c r="H146" s="46"/>
      <c r="I146" s="69"/>
    </row>
    <row r="147" spans="1:9">
      <c r="A147" s="46"/>
      <c r="B147" s="47"/>
      <c r="C147" s="52"/>
      <c r="D147" s="69"/>
      <c r="E147" s="46"/>
      <c r="F147" s="46"/>
      <c r="G147" s="46"/>
      <c r="H147" s="46"/>
      <c r="I147" s="69"/>
    </row>
    <row r="148" spans="1:9">
      <c r="A148" s="46"/>
      <c r="B148" s="47"/>
      <c r="C148" s="52"/>
      <c r="D148" s="69"/>
      <c r="E148" s="46"/>
      <c r="F148" s="46"/>
      <c r="G148" s="46"/>
      <c r="H148" s="46"/>
      <c r="I148" s="69"/>
    </row>
    <row r="149" spans="1:9">
      <c r="A149" s="46"/>
      <c r="B149" s="47"/>
      <c r="C149" s="52"/>
      <c r="D149" s="69"/>
      <c r="E149" s="46"/>
      <c r="F149" s="46"/>
      <c r="G149" s="46"/>
      <c r="H149" s="46"/>
      <c r="I149" s="69"/>
    </row>
    <row r="150" spans="1:9">
      <c r="A150" s="46"/>
      <c r="B150" s="47"/>
      <c r="C150" s="52"/>
      <c r="D150" s="69"/>
      <c r="E150" s="46"/>
      <c r="F150" s="46"/>
      <c r="G150" s="46"/>
      <c r="H150" s="46"/>
      <c r="I150" s="69"/>
    </row>
    <row r="151" spans="1:9">
      <c r="A151" s="46"/>
      <c r="B151" s="47"/>
      <c r="C151" s="52"/>
      <c r="D151" s="69"/>
      <c r="E151" s="46"/>
      <c r="F151" s="46"/>
      <c r="G151" s="46"/>
      <c r="H151" s="46"/>
      <c r="I151" s="69"/>
    </row>
    <row r="152" spans="1:9">
      <c r="A152" s="46"/>
      <c r="B152" s="47"/>
      <c r="C152" s="52"/>
      <c r="D152" s="69"/>
      <c r="E152" s="46"/>
      <c r="F152" s="46"/>
      <c r="G152" s="46"/>
      <c r="H152" s="46"/>
      <c r="I152" s="69"/>
    </row>
    <row r="153" spans="1:9">
      <c r="A153" s="46"/>
      <c r="B153" s="47"/>
      <c r="C153" s="52"/>
      <c r="D153" s="69"/>
      <c r="E153" s="46"/>
      <c r="F153" s="46"/>
      <c r="G153" s="46"/>
      <c r="H153" s="46"/>
      <c r="I153" s="69"/>
    </row>
    <row r="154" spans="1:9">
      <c r="A154" s="46"/>
      <c r="B154" s="47"/>
      <c r="C154" s="52"/>
      <c r="D154" s="69"/>
      <c r="E154" s="46"/>
      <c r="F154" s="46"/>
      <c r="G154" s="46"/>
      <c r="H154" s="46"/>
      <c r="I154" s="69"/>
    </row>
    <row r="155" spans="1:9">
      <c r="A155" s="46"/>
      <c r="B155" s="47"/>
      <c r="C155" s="52"/>
      <c r="D155" s="69"/>
      <c r="E155" s="46"/>
      <c r="F155" s="46"/>
      <c r="G155" s="46"/>
      <c r="H155" s="46"/>
      <c r="I155" s="69"/>
    </row>
    <row r="156" spans="1:9">
      <c r="A156" s="46"/>
      <c r="B156" s="47"/>
      <c r="C156" s="52"/>
      <c r="D156" s="69"/>
      <c r="E156" s="46"/>
      <c r="F156" s="46"/>
      <c r="G156" s="46"/>
      <c r="H156" s="46"/>
      <c r="I156" s="69"/>
    </row>
    <row r="157" spans="1:9">
      <c r="A157" s="46"/>
      <c r="B157" s="47"/>
      <c r="C157" s="52"/>
      <c r="D157" s="69"/>
      <c r="E157" s="46"/>
      <c r="F157" s="46"/>
      <c r="G157" s="46"/>
      <c r="H157" s="46"/>
      <c r="I157" s="69"/>
    </row>
    <row r="158" spans="1:9">
      <c r="A158" s="46"/>
      <c r="B158" s="47"/>
      <c r="C158" s="52"/>
      <c r="D158" s="69"/>
      <c r="E158" s="46"/>
      <c r="F158" s="46"/>
      <c r="G158" s="46"/>
      <c r="H158" s="46"/>
      <c r="I158" s="69"/>
    </row>
    <row r="159" spans="1:9">
      <c r="A159" s="46"/>
      <c r="B159" s="47"/>
      <c r="C159" s="52"/>
      <c r="D159" s="69"/>
      <c r="E159" s="46"/>
      <c r="F159" s="46"/>
      <c r="G159" s="46"/>
      <c r="H159" s="46"/>
      <c r="I159" s="69"/>
    </row>
    <row r="160" spans="1:9">
      <c r="A160" s="46"/>
      <c r="B160" s="47"/>
      <c r="C160" s="52"/>
      <c r="D160" s="69"/>
      <c r="E160" s="46"/>
      <c r="F160" s="46"/>
      <c r="G160" s="46"/>
      <c r="H160" s="46"/>
      <c r="I160" s="69"/>
    </row>
    <row r="161" spans="1:9">
      <c r="A161" s="46"/>
      <c r="B161" s="47"/>
      <c r="C161" s="52"/>
      <c r="D161" s="69"/>
      <c r="E161" s="46"/>
      <c r="F161" s="46"/>
      <c r="G161" s="46"/>
      <c r="H161" s="46"/>
      <c r="I161" s="69"/>
    </row>
    <row r="162" spans="1:9">
      <c r="A162" s="46"/>
      <c r="B162" s="47"/>
      <c r="C162" s="52"/>
      <c r="D162" s="69"/>
      <c r="E162" s="46"/>
      <c r="F162" s="46"/>
      <c r="G162" s="46"/>
      <c r="H162" s="46"/>
      <c r="I162" s="69"/>
    </row>
    <row r="163" spans="1:9">
      <c r="A163" s="46"/>
      <c r="B163" s="47"/>
      <c r="C163" s="52"/>
      <c r="D163" s="69"/>
      <c r="E163" s="46"/>
      <c r="F163" s="46"/>
      <c r="G163" s="46"/>
      <c r="H163" s="46"/>
      <c r="I163" s="69"/>
    </row>
    <row r="164" spans="1:9">
      <c r="A164" s="46"/>
      <c r="B164" s="47"/>
      <c r="C164" s="52"/>
      <c r="D164" s="69"/>
      <c r="E164" s="46"/>
      <c r="F164" s="46"/>
      <c r="G164" s="46"/>
      <c r="H164" s="46"/>
      <c r="I164" s="69"/>
    </row>
    <row r="165" spans="1:9">
      <c r="A165" s="46"/>
      <c r="B165" s="47"/>
      <c r="C165" s="52"/>
      <c r="D165" s="69"/>
      <c r="E165" s="46"/>
      <c r="F165" s="46"/>
      <c r="G165" s="46"/>
      <c r="H165" s="46"/>
      <c r="I165" s="69"/>
    </row>
    <row r="166" spans="1:9">
      <c r="A166" s="46"/>
      <c r="B166" s="47"/>
      <c r="C166" s="52"/>
      <c r="D166" s="69"/>
      <c r="E166" s="46"/>
      <c r="F166" s="46"/>
      <c r="G166" s="46"/>
      <c r="H166" s="46"/>
      <c r="I166" s="69"/>
    </row>
    <row r="167" spans="1:9">
      <c r="A167" s="46"/>
      <c r="B167" s="47"/>
      <c r="C167" s="52"/>
      <c r="D167" s="69"/>
      <c r="E167" s="46"/>
      <c r="F167" s="46"/>
      <c r="G167" s="46"/>
      <c r="H167" s="46"/>
      <c r="I167" s="69"/>
    </row>
    <row r="168" spans="1:9">
      <c r="A168" s="46"/>
      <c r="B168" s="47"/>
      <c r="C168" s="52"/>
      <c r="D168" s="69"/>
      <c r="E168" s="46"/>
      <c r="F168" s="46"/>
      <c r="G168" s="46"/>
      <c r="H168" s="46"/>
      <c r="I168" s="69"/>
    </row>
    <row r="169" spans="1:9">
      <c r="A169" s="46"/>
      <c r="B169" s="47"/>
      <c r="C169" s="52"/>
      <c r="D169" s="69"/>
      <c r="E169" s="46"/>
      <c r="F169" s="46"/>
      <c r="G169" s="46"/>
      <c r="H169" s="46"/>
      <c r="I169" s="69"/>
    </row>
    <row r="170" spans="1:9">
      <c r="A170" s="46"/>
      <c r="B170" s="47"/>
      <c r="C170" s="52"/>
      <c r="D170" s="69"/>
      <c r="E170" s="46"/>
      <c r="F170" s="46"/>
      <c r="G170" s="46"/>
      <c r="H170" s="46"/>
      <c r="I170" s="69"/>
    </row>
    <row r="171" spans="1:9">
      <c r="A171" s="46"/>
      <c r="B171" s="47"/>
      <c r="C171" s="52"/>
      <c r="D171" s="69"/>
      <c r="E171" s="46"/>
      <c r="F171" s="46"/>
      <c r="G171" s="46"/>
      <c r="H171" s="46"/>
      <c r="I171" s="69"/>
    </row>
    <row r="172" spans="1:9">
      <c r="A172" s="46"/>
      <c r="B172" s="47"/>
      <c r="C172" s="52"/>
      <c r="D172" s="69"/>
      <c r="E172" s="46"/>
      <c r="F172" s="46"/>
      <c r="G172" s="46"/>
      <c r="H172" s="46"/>
      <c r="I172" s="69"/>
    </row>
    <row r="173" spans="1:9">
      <c r="A173" s="46"/>
      <c r="B173" s="47"/>
      <c r="C173" s="52"/>
      <c r="D173" s="69"/>
      <c r="E173" s="46"/>
      <c r="F173" s="46"/>
      <c r="G173" s="46"/>
      <c r="H173" s="46"/>
      <c r="I173" s="69"/>
    </row>
    <row r="174" spans="1:9">
      <c r="A174" s="46"/>
      <c r="B174" s="47"/>
      <c r="C174" s="52"/>
      <c r="D174" s="69"/>
      <c r="E174" s="46"/>
      <c r="F174" s="46"/>
      <c r="G174" s="46"/>
      <c r="H174" s="46"/>
      <c r="I174" s="69"/>
    </row>
    <row r="175" spans="1:9">
      <c r="A175" s="46"/>
      <c r="B175" s="47"/>
      <c r="C175" s="52"/>
      <c r="D175" s="69"/>
      <c r="E175" s="46"/>
      <c r="F175" s="46"/>
      <c r="G175" s="46"/>
      <c r="H175" s="46"/>
      <c r="I175" s="69"/>
    </row>
    <row r="176" spans="1:9">
      <c r="A176" s="46"/>
      <c r="B176" s="47"/>
      <c r="C176" s="52"/>
      <c r="D176" s="69"/>
      <c r="E176" s="46"/>
      <c r="F176" s="46"/>
      <c r="G176" s="46"/>
      <c r="H176" s="46"/>
      <c r="I176" s="69"/>
    </row>
    <row r="177" spans="1:9">
      <c r="A177" s="46"/>
      <c r="B177" s="47"/>
      <c r="C177" s="52"/>
      <c r="D177" s="69"/>
      <c r="E177" s="46"/>
      <c r="F177" s="46"/>
      <c r="G177" s="46"/>
      <c r="H177" s="46"/>
      <c r="I177" s="69"/>
    </row>
    <row r="178" spans="1:9">
      <c r="A178" s="46"/>
      <c r="B178" s="47"/>
      <c r="C178" s="52"/>
      <c r="D178" s="69"/>
      <c r="E178" s="46"/>
      <c r="F178" s="46"/>
      <c r="G178" s="46"/>
      <c r="H178" s="46"/>
      <c r="I178" s="69"/>
    </row>
    <row r="179" spans="1:9">
      <c r="A179" s="46"/>
      <c r="B179" s="47"/>
      <c r="C179" s="52"/>
      <c r="D179" s="69"/>
      <c r="E179" s="46"/>
      <c r="F179" s="46"/>
      <c r="G179" s="46"/>
      <c r="H179" s="46"/>
      <c r="I179" s="69"/>
    </row>
    <row r="180" spans="1:9">
      <c r="A180" s="46"/>
      <c r="B180" s="47"/>
      <c r="C180" s="52"/>
      <c r="D180" s="69"/>
      <c r="E180" s="46"/>
      <c r="F180" s="46"/>
      <c r="G180" s="46"/>
      <c r="H180" s="46"/>
      <c r="I180" s="69"/>
    </row>
    <row r="181" spans="1:9">
      <c r="A181" s="46"/>
      <c r="B181" s="47"/>
      <c r="C181" s="52"/>
      <c r="D181" s="69"/>
      <c r="E181" s="46"/>
      <c r="F181" s="46"/>
      <c r="G181" s="46"/>
      <c r="H181" s="46"/>
      <c r="I181" s="69"/>
    </row>
    <row r="182" spans="1:9">
      <c r="A182" s="46"/>
      <c r="B182" s="47"/>
      <c r="C182" s="52"/>
      <c r="D182" s="69"/>
      <c r="E182" s="46"/>
      <c r="F182" s="46"/>
      <c r="G182" s="46"/>
      <c r="H182" s="46"/>
      <c r="I182" s="69"/>
    </row>
    <row r="183" spans="1:9">
      <c r="A183" s="46"/>
      <c r="B183" s="47"/>
      <c r="C183" s="52"/>
      <c r="D183" s="69"/>
      <c r="E183" s="46"/>
      <c r="F183" s="46"/>
      <c r="G183" s="46"/>
      <c r="H183" s="46"/>
      <c r="I183" s="69"/>
    </row>
    <row r="184" spans="1:9">
      <c r="A184" s="46"/>
      <c r="B184" s="47"/>
      <c r="C184" s="52"/>
      <c r="D184" s="69"/>
      <c r="E184" s="46"/>
      <c r="F184" s="46"/>
      <c r="G184" s="46"/>
      <c r="H184" s="46"/>
      <c r="I184" s="69"/>
    </row>
    <row r="185" spans="1:9">
      <c r="A185" s="46"/>
      <c r="B185" s="47"/>
      <c r="C185" s="52"/>
      <c r="D185" s="69"/>
      <c r="E185" s="46"/>
      <c r="F185" s="46"/>
      <c r="G185" s="46"/>
      <c r="H185" s="46"/>
      <c r="I185" s="69"/>
    </row>
    <row r="186" spans="1:9">
      <c r="A186" s="46"/>
      <c r="B186" s="47"/>
      <c r="C186" s="52"/>
      <c r="D186" s="69"/>
      <c r="E186" s="46"/>
      <c r="F186" s="46"/>
      <c r="G186" s="46"/>
      <c r="H186" s="46"/>
      <c r="I186" s="69"/>
    </row>
    <row r="187" spans="1:9">
      <c r="A187" s="46"/>
      <c r="B187" s="47"/>
      <c r="C187" s="52"/>
      <c r="D187" s="69"/>
      <c r="E187" s="46"/>
      <c r="F187" s="46"/>
      <c r="G187" s="46"/>
      <c r="H187" s="46"/>
      <c r="I187" s="69"/>
    </row>
    <row r="188" spans="1:9">
      <c r="A188" s="46"/>
      <c r="B188" s="47"/>
      <c r="C188" s="52"/>
      <c r="D188" s="69"/>
      <c r="E188" s="46"/>
      <c r="F188" s="46"/>
      <c r="G188" s="46"/>
      <c r="H188" s="46"/>
      <c r="I188" s="69"/>
    </row>
    <row r="189" spans="1:9">
      <c r="A189" s="46"/>
      <c r="B189" s="47"/>
      <c r="C189" s="52"/>
      <c r="D189" s="69"/>
      <c r="E189" s="46"/>
      <c r="F189" s="46"/>
      <c r="G189" s="46"/>
      <c r="H189" s="46"/>
      <c r="I189" s="69"/>
    </row>
    <row r="190" spans="1:9">
      <c r="A190" s="46"/>
      <c r="B190" s="47"/>
      <c r="C190" s="52"/>
      <c r="D190" s="69"/>
      <c r="E190" s="46"/>
      <c r="F190" s="46"/>
      <c r="G190" s="46"/>
      <c r="H190" s="46"/>
      <c r="I190" s="69"/>
    </row>
    <row r="191" spans="1:9">
      <c r="A191" s="46"/>
      <c r="B191" s="47"/>
      <c r="C191" s="52"/>
      <c r="D191" s="69"/>
      <c r="E191" s="46"/>
      <c r="F191" s="46"/>
      <c r="G191" s="46"/>
      <c r="H191" s="46"/>
      <c r="I191" s="69"/>
    </row>
    <row r="192" spans="1:9">
      <c r="A192" s="46"/>
      <c r="B192" s="47"/>
      <c r="C192" s="52"/>
      <c r="D192" s="69"/>
      <c r="E192" s="46"/>
      <c r="F192" s="46"/>
      <c r="G192" s="46"/>
      <c r="H192" s="46"/>
      <c r="I192" s="69"/>
    </row>
    <row r="193" spans="1:9">
      <c r="A193" s="46"/>
      <c r="B193" s="47"/>
      <c r="C193" s="52"/>
      <c r="D193" s="69"/>
      <c r="E193" s="46"/>
      <c r="F193" s="46"/>
      <c r="G193" s="46"/>
      <c r="H193" s="46"/>
      <c r="I193" s="69"/>
    </row>
    <row r="194" spans="1:9">
      <c r="A194" s="46"/>
      <c r="B194" s="47"/>
      <c r="C194" s="52"/>
      <c r="D194" s="69"/>
      <c r="E194" s="46"/>
      <c r="F194" s="46"/>
      <c r="G194" s="46"/>
      <c r="H194" s="46"/>
      <c r="I194" s="69"/>
    </row>
    <row r="195" spans="1:9">
      <c r="A195" s="46"/>
      <c r="B195" s="47"/>
      <c r="C195" s="52"/>
      <c r="D195" s="69"/>
      <c r="E195" s="46"/>
      <c r="F195" s="46"/>
      <c r="G195" s="46"/>
      <c r="H195" s="46"/>
      <c r="I195" s="69"/>
    </row>
    <row r="196" spans="1:9">
      <c r="A196" s="46"/>
      <c r="B196" s="47"/>
      <c r="C196" s="52"/>
      <c r="D196" s="69"/>
      <c r="E196" s="46"/>
      <c r="F196" s="46"/>
      <c r="G196" s="46"/>
      <c r="H196" s="46"/>
      <c r="I196" s="69"/>
    </row>
    <row r="197" spans="1:9">
      <c r="A197" s="46"/>
      <c r="B197" s="47"/>
      <c r="C197" s="52"/>
      <c r="D197" s="69"/>
      <c r="E197" s="46"/>
      <c r="F197" s="46"/>
      <c r="G197" s="46"/>
      <c r="H197" s="46"/>
      <c r="I197" s="69"/>
    </row>
    <row r="198" spans="1:9">
      <c r="A198" s="46"/>
      <c r="B198" s="47"/>
      <c r="C198" s="52"/>
      <c r="D198" s="69"/>
      <c r="E198" s="46"/>
      <c r="F198" s="46"/>
      <c r="G198" s="46"/>
      <c r="H198" s="46"/>
      <c r="I198" s="69"/>
    </row>
    <row r="199" spans="1:9">
      <c r="A199" s="46"/>
      <c r="B199" s="47"/>
      <c r="C199" s="52"/>
      <c r="D199" s="69"/>
      <c r="E199" s="46"/>
      <c r="F199" s="46"/>
      <c r="G199" s="46"/>
      <c r="H199" s="46"/>
      <c r="I199" s="69"/>
    </row>
    <row r="200" spans="1:9">
      <c r="A200" s="46"/>
      <c r="B200" s="47"/>
      <c r="C200" s="52"/>
      <c r="D200" s="69"/>
      <c r="E200" s="46"/>
      <c r="F200" s="46"/>
      <c r="G200" s="46"/>
      <c r="H200" s="46"/>
      <c r="I200" s="69"/>
    </row>
    <row r="201" spans="1:9">
      <c r="A201" s="46"/>
      <c r="B201" s="47"/>
      <c r="C201" s="52"/>
      <c r="D201" s="69"/>
      <c r="E201" s="46"/>
      <c r="F201" s="46"/>
      <c r="G201" s="46"/>
      <c r="H201" s="46"/>
      <c r="I201" s="69"/>
    </row>
    <row r="202" spans="1:9">
      <c r="A202" s="46"/>
      <c r="B202" s="47"/>
      <c r="C202" s="52"/>
      <c r="D202" s="69"/>
      <c r="E202" s="46"/>
      <c r="F202" s="46"/>
      <c r="G202" s="46"/>
      <c r="H202" s="46"/>
      <c r="I202" s="69"/>
    </row>
    <row r="203" spans="1:9">
      <c r="A203" s="46"/>
      <c r="B203" s="47"/>
      <c r="C203" s="52"/>
      <c r="D203" s="69"/>
      <c r="E203" s="46"/>
      <c r="F203" s="46"/>
      <c r="G203" s="46"/>
      <c r="H203" s="46"/>
      <c r="I203" s="69"/>
    </row>
    <row r="204" spans="1:9">
      <c r="A204" s="46"/>
      <c r="B204" s="47"/>
      <c r="C204" s="52"/>
      <c r="D204" s="69"/>
      <c r="E204" s="46"/>
      <c r="F204" s="46"/>
      <c r="G204" s="46"/>
      <c r="H204" s="46"/>
      <c r="I204" s="69"/>
    </row>
    <row r="205" spans="1:9">
      <c r="A205" s="46"/>
      <c r="B205" s="47"/>
      <c r="C205" s="52"/>
      <c r="D205" s="69"/>
      <c r="E205" s="46"/>
      <c r="F205" s="46"/>
      <c r="G205" s="46"/>
      <c r="H205" s="46"/>
      <c r="I205" s="69"/>
    </row>
    <row r="206" spans="1:9">
      <c r="A206" s="46"/>
      <c r="B206" s="47"/>
      <c r="C206" s="52"/>
      <c r="D206" s="69"/>
      <c r="E206" s="46"/>
      <c r="F206" s="46"/>
      <c r="G206" s="46"/>
      <c r="H206" s="46"/>
      <c r="I206" s="69"/>
    </row>
    <row r="207" spans="1:9">
      <c r="A207" s="46"/>
      <c r="B207" s="47"/>
      <c r="C207" s="52"/>
      <c r="D207" s="69"/>
      <c r="E207" s="46"/>
      <c r="F207" s="46"/>
      <c r="G207" s="46"/>
      <c r="H207" s="46"/>
      <c r="I207" s="69"/>
    </row>
    <row r="208" spans="1:9">
      <c r="A208" s="46"/>
      <c r="B208" s="47"/>
      <c r="C208" s="52"/>
      <c r="D208" s="69"/>
      <c r="E208" s="46"/>
      <c r="F208" s="46"/>
      <c r="G208" s="46"/>
      <c r="H208" s="46"/>
      <c r="I208" s="69"/>
    </row>
    <row r="209" spans="1:9">
      <c r="A209" s="46"/>
      <c r="B209" s="47"/>
      <c r="C209" s="52"/>
      <c r="D209" s="69"/>
      <c r="E209" s="46"/>
      <c r="F209" s="46"/>
      <c r="G209" s="46"/>
      <c r="H209" s="46"/>
      <c r="I209" s="69"/>
    </row>
    <row r="210" spans="1:9">
      <c r="A210" s="46"/>
      <c r="B210" s="47"/>
      <c r="C210" s="52"/>
      <c r="D210" s="69"/>
      <c r="E210" s="46"/>
      <c r="F210" s="46"/>
      <c r="G210" s="46"/>
      <c r="H210" s="46"/>
      <c r="I210" s="69"/>
    </row>
    <row r="211" spans="1:9">
      <c r="A211" s="46"/>
      <c r="B211" s="47"/>
      <c r="C211" s="52"/>
      <c r="D211" s="69"/>
      <c r="E211" s="46"/>
      <c r="F211" s="46"/>
      <c r="G211" s="46"/>
      <c r="H211" s="46"/>
      <c r="I211" s="69"/>
    </row>
    <row r="212" spans="1:9">
      <c r="A212" s="46"/>
      <c r="B212" s="47"/>
      <c r="C212" s="52"/>
      <c r="D212" s="69"/>
      <c r="E212" s="46"/>
      <c r="F212" s="46"/>
      <c r="G212" s="46"/>
      <c r="H212" s="46"/>
      <c r="I212" s="69"/>
    </row>
    <row r="213" spans="1:9">
      <c r="A213" s="46"/>
      <c r="B213" s="47"/>
      <c r="C213" s="52"/>
      <c r="D213" s="69"/>
      <c r="E213" s="46"/>
      <c r="F213" s="46"/>
      <c r="G213" s="46"/>
      <c r="H213" s="46"/>
      <c r="I213" s="69"/>
    </row>
    <row r="214" spans="1:9">
      <c r="A214" s="46"/>
      <c r="B214" s="47"/>
      <c r="C214" s="52"/>
      <c r="D214" s="69"/>
      <c r="E214" s="46"/>
      <c r="F214" s="46"/>
      <c r="G214" s="46"/>
      <c r="H214" s="46"/>
      <c r="I214" s="69"/>
    </row>
    <row r="215" spans="1:9">
      <c r="A215" s="46"/>
      <c r="B215" s="47"/>
      <c r="C215" s="52"/>
      <c r="D215" s="69"/>
      <c r="E215" s="46"/>
      <c r="F215" s="46"/>
      <c r="G215" s="46"/>
      <c r="H215" s="46"/>
      <c r="I215" s="69"/>
    </row>
    <row r="216" spans="1:9">
      <c r="A216" s="46"/>
      <c r="B216" s="47"/>
      <c r="C216" s="52"/>
      <c r="D216" s="69"/>
      <c r="E216" s="46"/>
      <c r="F216" s="46"/>
      <c r="G216" s="46"/>
      <c r="H216" s="46"/>
      <c r="I216" s="69"/>
    </row>
    <row r="217" spans="1:9">
      <c r="A217" s="46"/>
      <c r="B217" s="47"/>
      <c r="C217" s="52"/>
      <c r="D217" s="69"/>
      <c r="E217" s="46"/>
      <c r="F217" s="46"/>
      <c r="G217" s="46"/>
      <c r="H217" s="46"/>
      <c r="I217" s="69"/>
    </row>
    <row r="218" spans="1:9">
      <c r="A218" s="46"/>
      <c r="B218" s="47"/>
      <c r="C218" s="52"/>
      <c r="D218" s="69"/>
      <c r="E218" s="46"/>
      <c r="F218" s="46"/>
      <c r="G218" s="46"/>
      <c r="H218" s="46"/>
      <c r="I218" s="69"/>
    </row>
    <row r="219" spans="1:9">
      <c r="A219" s="46"/>
      <c r="B219" s="47"/>
      <c r="C219" s="52"/>
      <c r="D219" s="69"/>
      <c r="E219" s="46"/>
      <c r="F219" s="46"/>
      <c r="G219" s="46"/>
      <c r="H219" s="46"/>
      <c r="I219" s="69"/>
    </row>
    <row r="220" spans="1:9">
      <c r="A220" s="46"/>
      <c r="B220" s="47"/>
      <c r="C220" s="52"/>
      <c r="D220" s="69"/>
      <c r="E220" s="46"/>
      <c r="F220" s="46"/>
      <c r="G220" s="46"/>
      <c r="H220" s="46"/>
      <c r="I220" s="69"/>
    </row>
    <row r="221" spans="1:9">
      <c r="A221" s="46"/>
      <c r="B221" s="47"/>
      <c r="C221" s="52"/>
      <c r="D221" s="69"/>
      <c r="E221" s="46"/>
      <c r="F221" s="46"/>
      <c r="G221" s="46"/>
      <c r="H221" s="46"/>
      <c r="I221" s="69"/>
    </row>
    <row r="222" spans="1:9">
      <c r="A222" s="46"/>
      <c r="B222" s="47"/>
      <c r="C222" s="52"/>
      <c r="D222" s="69"/>
      <c r="E222" s="46"/>
      <c r="F222" s="46"/>
      <c r="G222" s="46"/>
      <c r="H222" s="46"/>
      <c r="I222" s="69"/>
    </row>
    <row r="223" spans="1:9">
      <c r="A223" s="46"/>
      <c r="B223" s="47"/>
      <c r="C223" s="52"/>
      <c r="D223" s="69"/>
      <c r="E223" s="46"/>
      <c r="F223" s="46"/>
      <c r="G223" s="46"/>
      <c r="H223" s="46"/>
      <c r="I223" s="69"/>
    </row>
    <row r="224" spans="1:9">
      <c r="A224" s="46"/>
      <c r="B224" s="47"/>
      <c r="C224" s="52"/>
      <c r="D224" s="69"/>
      <c r="E224" s="46"/>
      <c r="F224" s="46"/>
      <c r="G224" s="46"/>
      <c r="H224" s="46"/>
      <c r="I224" s="69"/>
    </row>
    <row r="225" spans="1:9">
      <c r="A225" s="46"/>
      <c r="B225" s="47"/>
      <c r="C225" s="52"/>
      <c r="D225" s="69"/>
      <c r="E225" s="46"/>
      <c r="F225" s="46"/>
      <c r="G225" s="46"/>
      <c r="H225" s="46"/>
      <c r="I225" s="69"/>
    </row>
    <row r="226" spans="1:9">
      <c r="A226" s="46"/>
      <c r="B226" s="47"/>
      <c r="C226" s="52"/>
      <c r="D226" s="69"/>
      <c r="E226" s="46"/>
      <c r="F226" s="46"/>
      <c r="G226" s="46"/>
      <c r="H226" s="46"/>
      <c r="I226" s="69"/>
    </row>
    <row r="227" spans="1:9">
      <c r="A227" s="46"/>
      <c r="B227" s="47"/>
      <c r="C227" s="52"/>
      <c r="D227" s="69"/>
      <c r="E227" s="46"/>
      <c r="F227" s="46"/>
      <c r="G227" s="46"/>
      <c r="H227" s="46"/>
      <c r="I227" s="69"/>
    </row>
    <row r="228" spans="1:9">
      <c r="A228" s="46"/>
      <c r="B228" s="47"/>
      <c r="C228" s="52"/>
      <c r="D228" s="69"/>
      <c r="E228" s="46"/>
      <c r="F228" s="46"/>
      <c r="G228" s="46"/>
      <c r="H228" s="46"/>
      <c r="I228" s="69"/>
    </row>
    <row r="229" spans="1:9">
      <c r="A229" s="46"/>
      <c r="B229" s="47"/>
      <c r="C229" s="52"/>
      <c r="D229" s="69"/>
      <c r="E229" s="46"/>
      <c r="F229" s="46"/>
      <c r="G229" s="46"/>
      <c r="H229" s="46"/>
      <c r="I229" s="69"/>
    </row>
    <row r="230" spans="1:9">
      <c r="A230" s="46"/>
      <c r="B230" s="47"/>
      <c r="C230" s="52"/>
      <c r="D230" s="69"/>
      <c r="E230" s="46"/>
      <c r="F230" s="46"/>
      <c r="G230" s="46"/>
      <c r="H230" s="46"/>
      <c r="I230" s="69"/>
    </row>
    <row r="231" spans="1:9">
      <c r="A231" s="46"/>
      <c r="B231" s="47"/>
      <c r="C231" s="52"/>
      <c r="D231" s="69"/>
      <c r="E231" s="46"/>
      <c r="F231" s="46"/>
      <c r="G231" s="46"/>
      <c r="H231" s="46"/>
      <c r="I231" s="69"/>
    </row>
    <row r="232" spans="1:9">
      <c r="A232" s="46"/>
      <c r="B232" s="47"/>
      <c r="C232" s="52"/>
      <c r="D232" s="69"/>
      <c r="E232" s="46"/>
      <c r="F232" s="46"/>
      <c r="G232" s="46"/>
      <c r="H232" s="46"/>
      <c r="I232" s="69"/>
    </row>
    <row r="233" spans="1:9">
      <c r="A233" s="46"/>
      <c r="B233" s="47"/>
      <c r="C233" s="52"/>
      <c r="D233" s="69"/>
      <c r="E233" s="46"/>
      <c r="F233" s="46"/>
      <c r="G233" s="46"/>
      <c r="H233" s="46"/>
      <c r="I233" s="69"/>
    </row>
    <row r="234" spans="1:9">
      <c r="A234" s="46"/>
      <c r="B234" s="47"/>
      <c r="C234" s="52"/>
      <c r="D234" s="69"/>
      <c r="E234" s="46"/>
      <c r="F234" s="46"/>
      <c r="G234" s="46"/>
      <c r="H234" s="46"/>
      <c r="I234" s="69"/>
    </row>
    <row r="235" spans="1:9">
      <c r="A235" s="46"/>
      <c r="B235" s="47"/>
      <c r="C235" s="52"/>
      <c r="D235" s="69"/>
      <c r="E235" s="46"/>
      <c r="F235" s="46"/>
      <c r="G235" s="46"/>
      <c r="H235" s="46"/>
      <c r="I235" s="69"/>
    </row>
    <row r="236" spans="1:9">
      <c r="A236" s="46"/>
      <c r="B236" s="47"/>
      <c r="C236" s="52"/>
      <c r="D236" s="69"/>
      <c r="E236" s="46"/>
      <c r="F236" s="46"/>
      <c r="G236" s="46"/>
      <c r="H236" s="46"/>
      <c r="I236" s="69"/>
    </row>
    <row r="237" spans="1:9">
      <c r="A237" s="46"/>
      <c r="B237" s="47"/>
      <c r="C237" s="52"/>
      <c r="D237" s="69"/>
      <c r="E237" s="46"/>
      <c r="F237" s="46"/>
      <c r="G237" s="46"/>
      <c r="H237" s="46"/>
      <c r="I237" s="69"/>
    </row>
    <row r="238" spans="1:9">
      <c r="A238" s="46"/>
      <c r="B238" s="47"/>
      <c r="C238" s="52"/>
      <c r="D238" s="69"/>
      <c r="E238" s="46"/>
      <c r="F238" s="46"/>
      <c r="G238" s="46"/>
      <c r="H238" s="46"/>
      <c r="I238" s="69"/>
    </row>
    <row r="239" spans="1:9">
      <c r="A239" s="46"/>
      <c r="B239" s="47"/>
      <c r="C239" s="52"/>
      <c r="D239" s="69"/>
      <c r="E239" s="46"/>
      <c r="F239" s="46"/>
      <c r="G239" s="46"/>
      <c r="H239" s="46"/>
      <c r="I239" s="69"/>
    </row>
    <row r="240" spans="1:9">
      <c r="A240" s="46"/>
      <c r="B240" s="47"/>
      <c r="C240" s="52"/>
      <c r="D240" s="69"/>
      <c r="E240" s="46"/>
      <c r="F240" s="46"/>
      <c r="G240" s="46"/>
      <c r="H240" s="46"/>
      <c r="I240" s="69"/>
    </row>
    <row r="241" spans="1:9">
      <c r="A241" s="46"/>
      <c r="B241" s="47"/>
      <c r="C241" s="52"/>
      <c r="D241" s="69"/>
      <c r="E241" s="46"/>
      <c r="F241" s="46"/>
      <c r="G241" s="46"/>
      <c r="H241" s="46"/>
      <c r="I241" s="69"/>
    </row>
    <row r="242" spans="1:9">
      <c r="A242" s="46"/>
      <c r="B242" s="47"/>
      <c r="C242" s="52"/>
      <c r="D242" s="69"/>
      <c r="E242" s="46"/>
      <c r="F242" s="46"/>
      <c r="G242" s="46"/>
      <c r="H242" s="46"/>
      <c r="I242" s="69"/>
    </row>
  </sheetData>
  <mergeCells count="20">
    <mergeCell ref="K7:R7"/>
    <mergeCell ref="K8:R8"/>
    <mergeCell ref="B1:I1"/>
    <mergeCell ref="B2:I2"/>
    <mergeCell ref="B3:I3"/>
    <mergeCell ref="B4:I4"/>
    <mergeCell ref="B5:I5"/>
    <mergeCell ref="B6:I6"/>
    <mergeCell ref="A7:A8"/>
    <mergeCell ref="B7:B8"/>
    <mergeCell ref="C7:C8"/>
    <mergeCell ref="D7:H7"/>
    <mergeCell ref="I7:I8"/>
    <mergeCell ref="D29:I29"/>
    <mergeCell ref="D16:I16"/>
    <mergeCell ref="D64:I64"/>
    <mergeCell ref="D57:I57"/>
    <mergeCell ref="D52:I52"/>
    <mergeCell ref="D47:I47"/>
    <mergeCell ref="D41:I41"/>
  </mergeCells>
  <pageMargins left="0.45" right="0.45" top="0.75" bottom="0.5" header="0.3" footer="0.3"/>
  <pageSetup scale="85" orientation="portrait" r:id="rId1"/>
  <headerFooter>
    <oddFooter>&amp;CPage no  &amp;P  MB-  1001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24"/>
  <sheetViews>
    <sheetView view="pageBreakPreview" zoomScale="90" zoomScaleSheetLayoutView="90" workbookViewId="0">
      <selection activeCell="D18" sqref="D18:I18"/>
    </sheetView>
  </sheetViews>
  <sheetFormatPr defaultColWidth="9.140625" defaultRowHeight="14.25"/>
  <cols>
    <col min="1" max="1" width="10.140625" style="37" customWidth="1"/>
    <col min="2" max="2" width="7" style="48" customWidth="1"/>
    <col min="3" max="3" width="42.85546875" style="53" customWidth="1"/>
    <col min="4" max="4" width="4.28515625" style="70" bestFit="1" customWidth="1"/>
    <col min="5" max="6" width="9.28515625" style="37" bestFit="1" customWidth="1"/>
    <col min="7" max="7" width="7.7109375" style="37" bestFit="1" customWidth="1"/>
    <col min="8" max="8" width="11.85546875" style="37" customWidth="1"/>
    <col min="9" max="9" width="9.28515625" style="70" customWidth="1"/>
    <col min="10" max="10" width="9.140625" style="37"/>
    <col min="11" max="12" width="9.28515625" style="37" bestFit="1" customWidth="1"/>
    <col min="13" max="13" width="9.7109375" style="37" bestFit="1" customWidth="1"/>
    <col min="14" max="16384" width="9.140625" style="37"/>
  </cols>
  <sheetData>
    <row r="1" spans="1:18" ht="34.15" customHeight="1">
      <c r="A1" s="56" t="s">
        <v>78</v>
      </c>
      <c r="B1" s="309" t="s">
        <v>85</v>
      </c>
      <c r="C1" s="310"/>
      <c r="D1" s="310"/>
      <c r="E1" s="310"/>
      <c r="F1" s="310"/>
      <c r="G1" s="310"/>
      <c r="H1" s="310"/>
      <c r="I1" s="311"/>
    </row>
    <row r="2" spans="1:18" ht="24.75" customHeight="1">
      <c r="A2" s="56" t="s">
        <v>79</v>
      </c>
      <c r="B2" s="298" t="s">
        <v>88</v>
      </c>
      <c r="C2" s="299"/>
      <c r="D2" s="299"/>
      <c r="E2" s="299"/>
      <c r="F2" s="299"/>
      <c r="G2" s="299"/>
      <c r="H2" s="299"/>
      <c r="I2" s="300"/>
    </row>
    <row r="3" spans="1:18" ht="24.75" customHeight="1">
      <c r="A3" s="57" t="s">
        <v>93</v>
      </c>
      <c r="B3" s="298" t="s">
        <v>95</v>
      </c>
      <c r="C3" s="299"/>
      <c r="D3" s="299"/>
      <c r="E3" s="299"/>
      <c r="F3" s="299"/>
      <c r="G3" s="299"/>
      <c r="H3" s="299"/>
      <c r="I3" s="300"/>
    </row>
    <row r="4" spans="1:18" ht="24.75" customHeight="1">
      <c r="A4" s="57" t="s">
        <v>80</v>
      </c>
      <c r="B4" s="298" t="s">
        <v>90</v>
      </c>
      <c r="C4" s="299"/>
      <c r="D4" s="299"/>
      <c r="E4" s="299"/>
      <c r="F4" s="299"/>
      <c r="G4" s="299"/>
      <c r="H4" s="299"/>
      <c r="I4" s="300"/>
    </row>
    <row r="5" spans="1:18" ht="24.75" customHeight="1">
      <c r="A5" s="57" t="s">
        <v>92</v>
      </c>
      <c r="B5" s="298" t="s">
        <v>91</v>
      </c>
      <c r="C5" s="299"/>
      <c r="D5" s="299"/>
      <c r="E5" s="299"/>
      <c r="F5" s="299"/>
      <c r="G5" s="299"/>
      <c r="H5" s="299"/>
      <c r="I5" s="300"/>
    </row>
    <row r="6" spans="1:18" ht="25.5" customHeight="1">
      <c r="A6" s="57" t="s">
        <v>81</v>
      </c>
      <c r="B6" s="301" t="s">
        <v>113</v>
      </c>
      <c r="C6" s="302">
        <v>1</v>
      </c>
      <c r="D6" s="302"/>
      <c r="E6" s="302"/>
      <c r="F6" s="302"/>
      <c r="G6" s="302"/>
      <c r="H6" s="302"/>
      <c r="I6" s="303"/>
      <c r="L6" s="38"/>
    </row>
    <row r="7" spans="1:18" ht="24.95" customHeight="1">
      <c r="A7" s="289" t="s">
        <v>82</v>
      </c>
      <c r="B7" s="289" t="s">
        <v>15</v>
      </c>
      <c r="C7" s="290" t="s">
        <v>4</v>
      </c>
      <c r="D7" s="294" t="s">
        <v>83</v>
      </c>
      <c r="E7" s="294"/>
      <c r="F7" s="294"/>
      <c r="G7" s="294"/>
      <c r="H7" s="294"/>
      <c r="I7" s="294" t="s">
        <v>9</v>
      </c>
      <c r="J7" s="39"/>
      <c r="K7" s="293"/>
      <c r="L7" s="293"/>
      <c r="M7" s="293"/>
      <c r="N7" s="293"/>
      <c r="O7" s="293"/>
      <c r="P7" s="293"/>
      <c r="Q7" s="293"/>
      <c r="R7" s="293"/>
    </row>
    <row r="8" spans="1:18" ht="31.5" customHeight="1">
      <c r="A8" s="289"/>
      <c r="B8" s="289"/>
      <c r="C8" s="291"/>
      <c r="D8" s="137" t="s">
        <v>18</v>
      </c>
      <c r="E8" s="137" t="s">
        <v>0</v>
      </c>
      <c r="F8" s="137" t="s">
        <v>1</v>
      </c>
      <c r="G8" s="59" t="s">
        <v>2</v>
      </c>
      <c r="H8" s="137" t="s">
        <v>84</v>
      </c>
      <c r="I8" s="294"/>
      <c r="J8" s="39"/>
      <c r="K8" s="292"/>
      <c r="L8" s="292"/>
      <c r="M8" s="292"/>
      <c r="N8" s="292"/>
      <c r="O8" s="292"/>
      <c r="P8" s="292"/>
      <c r="Q8" s="292"/>
      <c r="R8" s="292"/>
    </row>
    <row r="9" spans="1:18" ht="32.25" customHeight="1">
      <c r="A9" s="245" t="s">
        <v>137</v>
      </c>
      <c r="B9" s="239" t="s">
        <v>86</v>
      </c>
      <c r="C9" s="242" t="s">
        <v>106</v>
      </c>
      <c r="D9" s="240"/>
      <c r="E9" s="240"/>
      <c r="F9" s="240"/>
      <c r="G9" s="240"/>
      <c r="H9" s="240"/>
      <c r="I9" s="241"/>
      <c r="M9" s="42"/>
    </row>
    <row r="10" spans="1:18" ht="32.25" customHeight="1">
      <c r="A10" s="74"/>
      <c r="B10" s="72"/>
      <c r="C10" s="50" t="s">
        <v>122</v>
      </c>
      <c r="D10" s="65">
        <v>2</v>
      </c>
      <c r="E10" s="60">
        <v>16.074999999999999</v>
      </c>
      <c r="F10" s="60" t="s">
        <v>123</v>
      </c>
      <c r="G10" s="60">
        <v>1.5</v>
      </c>
      <c r="H10" s="40">
        <f>+D10*E10*G10</f>
        <v>48.224999999999994</v>
      </c>
      <c r="I10" s="66"/>
      <c r="J10" s="167"/>
    </row>
    <row r="11" spans="1:18" ht="32.25" customHeight="1">
      <c r="A11" s="74"/>
      <c r="B11" s="72"/>
      <c r="C11" s="50" t="s">
        <v>122</v>
      </c>
      <c r="D11" s="65">
        <v>2</v>
      </c>
      <c r="E11" s="60">
        <v>16.3</v>
      </c>
      <c r="F11" s="60" t="s">
        <v>123</v>
      </c>
      <c r="G11" s="60">
        <v>1.5</v>
      </c>
      <c r="H11" s="40">
        <f>+D11*E11*G11</f>
        <v>48.900000000000006</v>
      </c>
      <c r="I11" s="66"/>
      <c r="J11" s="167"/>
    </row>
    <row r="12" spans="1:18" ht="32.25" customHeight="1">
      <c r="A12" s="74"/>
      <c r="B12" s="72"/>
      <c r="C12" s="78" t="s">
        <v>17</v>
      </c>
      <c r="D12" s="54"/>
      <c r="E12" s="40"/>
      <c r="F12" s="40"/>
      <c r="G12" s="40"/>
      <c r="H12" s="41">
        <f>SUM(H10:H11)</f>
        <v>97.125</v>
      </c>
      <c r="I12" s="55" t="s">
        <v>124</v>
      </c>
      <c r="J12" s="167"/>
    </row>
    <row r="13" spans="1:18" ht="24" customHeight="1">
      <c r="A13" s="74"/>
      <c r="B13" s="72"/>
      <c r="C13" s="246"/>
      <c r="D13" s="312" t="s">
        <v>201</v>
      </c>
      <c r="E13" s="312"/>
      <c r="F13" s="312"/>
      <c r="G13" s="312"/>
      <c r="H13" s="312"/>
      <c r="I13" s="313"/>
      <c r="J13" s="249"/>
    </row>
    <row r="14" spans="1:18" ht="22.5" customHeight="1">
      <c r="A14" s="74"/>
      <c r="B14" s="72"/>
      <c r="C14" s="78"/>
      <c r="D14" s="65"/>
      <c r="E14" s="60"/>
      <c r="F14" s="60"/>
      <c r="G14" s="60"/>
      <c r="H14" s="79"/>
      <c r="I14" s="80"/>
    </row>
    <row r="15" spans="1:18" ht="22.5" customHeight="1">
      <c r="A15" s="245" t="s">
        <v>137</v>
      </c>
      <c r="B15" s="239" t="s">
        <v>87</v>
      </c>
      <c r="C15" s="243" t="s">
        <v>120</v>
      </c>
      <c r="D15" s="65"/>
      <c r="E15" s="60"/>
      <c r="F15" s="60"/>
      <c r="G15" s="60"/>
      <c r="H15" s="79"/>
      <c r="I15" s="80"/>
    </row>
    <row r="16" spans="1:18" ht="28.5">
      <c r="A16" s="74"/>
      <c r="B16" s="72"/>
      <c r="C16" s="50" t="s">
        <v>122</v>
      </c>
      <c r="D16" s="65">
        <v>1</v>
      </c>
      <c r="E16" s="60">
        <v>16.3</v>
      </c>
      <c r="F16" s="60">
        <v>16.074999999999999</v>
      </c>
      <c r="G16" s="60">
        <v>1.5</v>
      </c>
      <c r="H16" s="40">
        <f>+D16*E16*F16*G16</f>
        <v>393.03374999999994</v>
      </c>
      <c r="I16" s="80"/>
    </row>
    <row r="17" spans="1:9" ht="22.5" customHeight="1">
      <c r="A17" s="74"/>
      <c r="B17" s="72"/>
      <c r="C17" s="78" t="s">
        <v>17</v>
      </c>
      <c r="D17" s="54"/>
      <c r="E17" s="40"/>
      <c r="F17" s="40"/>
      <c r="G17" s="40"/>
      <c r="H17" s="41">
        <f>SUM(H16:H16)</f>
        <v>393.03374999999994</v>
      </c>
      <c r="I17" s="80" t="s">
        <v>16</v>
      </c>
    </row>
    <row r="18" spans="1:9" ht="22.5" customHeight="1">
      <c r="A18" s="74"/>
      <c r="B18" s="72"/>
      <c r="C18" s="78"/>
      <c r="D18" s="312" t="s">
        <v>201</v>
      </c>
      <c r="E18" s="312"/>
      <c r="F18" s="312"/>
      <c r="G18" s="312"/>
      <c r="H18" s="312"/>
      <c r="I18" s="313"/>
    </row>
    <row r="19" spans="1:9" ht="22.5" customHeight="1">
      <c r="A19" s="74"/>
      <c r="B19" s="72"/>
      <c r="C19" s="78"/>
      <c r="D19" s="65"/>
      <c r="E19" s="60"/>
      <c r="F19" s="60"/>
      <c r="G19" s="60"/>
      <c r="H19" s="79"/>
      <c r="I19" s="80"/>
    </row>
    <row r="20" spans="1:9" ht="22.5" customHeight="1">
      <c r="A20" s="74"/>
      <c r="B20" s="72"/>
      <c r="C20" s="78"/>
      <c r="D20" s="65"/>
      <c r="E20" s="60"/>
      <c r="F20" s="60"/>
      <c r="G20" s="60"/>
      <c r="H20" s="79"/>
      <c r="I20" s="80"/>
    </row>
    <row r="21" spans="1:9" ht="22.5" customHeight="1">
      <c r="A21" s="74"/>
      <c r="B21" s="72"/>
      <c r="C21" s="78"/>
      <c r="D21" s="65"/>
      <c r="E21" s="60"/>
      <c r="F21" s="60"/>
      <c r="G21" s="60"/>
      <c r="H21" s="79"/>
      <c r="I21" s="80"/>
    </row>
    <row r="22" spans="1:9" ht="22.5" customHeight="1">
      <c r="A22" s="74"/>
      <c r="B22" s="72"/>
      <c r="C22" s="78"/>
      <c r="D22" s="65"/>
      <c r="E22" s="60"/>
      <c r="F22" s="60"/>
      <c r="G22" s="60"/>
      <c r="H22" s="79"/>
      <c r="I22" s="80"/>
    </row>
    <row r="23" spans="1:9" ht="22.5" customHeight="1">
      <c r="A23" s="74"/>
      <c r="B23" s="72"/>
      <c r="C23" s="78"/>
      <c r="D23" s="65"/>
      <c r="E23" s="60"/>
      <c r="F23" s="60"/>
      <c r="G23" s="60"/>
      <c r="H23" s="79"/>
      <c r="I23" s="80"/>
    </row>
    <row r="24" spans="1:9" ht="22.5" customHeight="1">
      <c r="A24" s="74"/>
      <c r="B24" s="72"/>
      <c r="C24" s="78"/>
      <c r="D24" s="65"/>
      <c r="E24" s="60"/>
      <c r="F24" s="60"/>
      <c r="G24" s="60"/>
      <c r="H24" s="79"/>
      <c r="I24" s="80"/>
    </row>
    <row r="25" spans="1:9" ht="22.5" customHeight="1">
      <c r="A25" s="74"/>
      <c r="B25" s="72"/>
      <c r="C25" s="78"/>
      <c r="D25" s="65"/>
      <c r="E25" s="60"/>
      <c r="F25" s="60"/>
      <c r="G25" s="60"/>
      <c r="H25" s="79"/>
      <c r="I25" s="80"/>
    </row>
    <row r="26" spans="1:9" ht="22.5" customHeight="1">
      <c r="A26" s="74"/>
      <c r="B26" s="72"/>
      <c r="C26" s="78"/>
      <c r="D26" s="65"/>
      <c r="E26" s="60"/>
      <c r="F26" s="60"/>
      <c r="G26" s="60"/>
      <c r="H26" s="79"/>
      <c r="I26" s="80"/>
    </row>
    <row r="27" spans="1:9" ht="22.5" customHeight="1">
      <c r="A27" s="74"/>
      <c r="B27" s="72"/>
      <c r="C27" s="78"/>
      <c r="D27" s="65"/>
      <c r="E27" s="60"/>
      <c r="F27" s="60"/>
      <c r="G27" s="60"/>
      <c r="H27" s="79"/>
      <c r="I27" s="80"/>
    </row>
    <row r="28" spans="1:9" ht="22.5" customHeight="1">
      <c r="A28" s="74"/>
      <c r="B28" s="72"/>
      <c r="C28" s="78"/>
      <c r="D28" s="65"/>
      <c r="E28" s="60"/>
      <c r="F28" s="60"/>
      <c r="G28" s="60"/>
      <c r="H28" s="79"/>
      <c r="I28" s="80"/>
    </row>
    <row r="29" spans="1:9" ht="22.5" customHeight="1">
      <c r="A29" s="74"/>
      <c r="B29" s="72"/>
      <c r="C29" s="78"/>
      <c r="D29" s="65"/>
      <c r="E29" s="60"/>
      <c r="F29" s="60"/>
      <c r="G29" s="60"/>
      <c r="H29" s="79"/>
      <c r="I29" s="80"/>
    </row>
    <row r="30" spans="1:9" ht="22.5" customHeight="1">
      <c r="A30" s="74"/>
      <c r="B30" s="72"/>
      <c r="C30" s="78"/>
      <c r="D30" s="65"/>
      <c r="E30" s="60"/>
      <c r="F30" s="60"/>
      <c r="G30" s="60"/>
      <c r="H30" s="79"/>
      <c r="I30" s="80"/>
    </row>
    <row r="31" spans="1:9" ht="22.5" customHeight="1">
      <c r="A31" s="74"/>
      <c r="B31" s="72"/>
      <c r="C31" s="78"/>
      <c r="D31" s="65"/>
      <c r="E31" s="60"/>
      <c r="F31" s="60"/>
      <c r="G31" s="60"/>
      <c r="H31" s="79"/>
      <c r="I31" s="80"/>
    </row>
    <row r="32" spans="1:9" ht="22.5" customHeight="1">
      <c r="A32" s="74"/>
      <c r="B32" s="72"/>
      <c r="C32" s="78"/>
      <c r="D32" s="65"/>
      <c r="E32" s="60"/>
      <c r="F32" s="60"/>
      <c r="G32" s="60"/>
      <c r="H32" s="79"/>
      <c r="I32" s="80"/>
    </row>
    <row r="33" spans="1:9" ht="22.5" customHeight="1">
      <c r="A33" s="74"/>
      <c r="B33" s="72"/>
      <c r="C33" s="78"/>
      <c r="D33" s="65"/>
      <c r="E33" s="60"/>
      <c r="F33" s="60"/>
      <c r="G33" s="60"/>
      <c r="H33" s="79"/>
      <c r="I33" s="80"/>
    </row>
    <row r="34" spans="1:9" ht="22.5" customHeight="1">
      <c r="A34" s="74"/>
      <c r="B34" s="72"/>
      <c r="C34" s="78"/>
      <c r="D34" s="65"/>
      <c r="E34" s="60"/>
      <c r="F34" s="60"/>
      <c r="G34" s="60"/>
      <c r="H34" s="79"/>
      <c r="I34" s="80"/>
    </row>
    <row r="35" spans="1:9" ht="22.5" customHeight="1">
      <c r="A35" s="74"/>
      <c r="B35" s="72"/>
      <c r="C35" s="78"/>
      <c r="D35" s="65"/>
      <c r="E35" s="60"/>
      <c r="F35" s="60"/>
      <c r="G35" s="60"/>
      <c r="H35" s="79"/>
      <c r="I35" s="80"/>
    </row>
    <row r="36" spans="1:9" ht="22.5" customHeight="1">
      <c r="A36" s="74"/>
      <c r="B36" s="72"/>
      <c r="C36" s="78"/>
      <c r="D36" s="65"/>
      <c r="E36" s="60"/>
      <c r="F36" s="60"/>
      <c r="G36" s="60"/>
      <c r="H36" s="79"/>
      <c r="I36" s="80"/>
    </row>
    <row r="37" spans="1:9">
      <c r="A37" s="46"/>
      <c r="B37" s="47"/>
      <c r="C37" s="52"/>
      <c r="D37" s="69"/>
      <c r="E37" s="46"/>
      <c r="F37" s="46"/>
      <c r="G37" s="46"/>
      <c r="H37" s="46"/>
      <c r="I37" s="69"/>
    </row>
    <row r="38" spans="1:9">
      <c r="A38" s="46"/>
      <c r="B38" s="47"/>
      <c r="C38" s="52"/>
      <c r="D38" s="69"/>
      <c r="E38" s="46"/>
      <c r="F38" s="46"/>
      <c r="G38" s="46"/>
      <c r="H38" s="46"/>
      <c r="I38" s="69"/>
    </row>
    <row r="39" spans="1:9">
      <c r="A39" s="46"/>
      <c r="B39" s="47"/>
      <c r="C39" s="52"/>
      <c r="D39" s="69"/>
      <c r="E39" s="46"/>
      <c r="F39" s="46"/>
      <c r="G39" s="46"/>
      <c r="H39" s="46"/>
      <c r="I39" s="69"/>
    </row>
    <row r="40" spans="1:9">
      <c r="A40" s="46"/>
      <c r="B40" s="47"/>
      <c r="C40" s="52"/>
      <c r="D40" s="69"/>
      <c r="E40" s="46"/>
      <c r="F40" s="46"/>
      <c r="G40" s="46"/>
      <c r="H40" s="46"/>
      <c r="I40" s="69"/>
    </row>
    <row r="41" spans="1:9">
      <c r="A41" s="46"/>
      <c r="B41" s="47"/>
      <c r="C41" s="52"/>
      <c r="D41" s="69"/>
      <c r="E41" s="46"/>
      <c r="F41" s="46"/>
      <c r="G41" s="46"/>
      <c r="H41" s="46"/>
      <c r="I41" s="69"/>
    </row>
    <row r="42" spans="1:9">
      <c r="A42" s="46"/>
      <c r="B42" s="47"/>
      <c r="C42" s="52"/>
      <c r="D42" s="69"/>
      <c r="E42" s="46"/>
      <c r="F42" s="46"/>
      <c r="G42" s="46"/>
      <c r="H42" s="46"/>
      <c r="I42" s="69"/>
    </row>
    <row r="43" spans="1:9">
      <c r="A43" s="46"/>
      <c r="B43" s="47"/>
      <c r="C43" s="52"/>
      <c r="D43" s="69"/>
      <c r="E43" s="46"/>
      <c r="F43" s="46"/>
      <c r="G43" s="46"/>
      <c r="H43" s="46"/>
      <c r="I43" s="69"/>
    </row>
    <row r="44" spans="1:9">
      <c r="A44" s="46"/>
      <c r="B44" s="47"/>
      <c r="C44" s="52"/>
      <c r="D44" s="69"/>
      <c r="E44" s="46"/>
      <c r="F44" s="46"/>
      <c r="G44" s="46"/>
      <c r="H44" s="46"/>
      <c r="I44" s="69"/>
    </row>
    <row r="45" spans="1:9">
      <c r="A45" s="46"/>
      <c r="B45" s="47"/>
      <c r="C45" s="52"/>
      <c r="D45" s="69"/>
      <c r="E45" s="46"/>
      <c r="F45" s="46"/>
      <c r="G45" s="46"/>
      <c r="H45" s="46"/>
      <c r="I45" s="69"/>
    </row>
    <row r="46" spans="1:9">
      <c r="A46" s="46"/>
      <c r="B46" s="47"/>
      <c r="C46" s="52"/>
      <c r="D46" s="69"/>
      <c r="E46" s="46"/>
      <c r="F46" s="46"/>
      <c r="G46" s="46"/>
      <c r="H46" s="46"/>
      <c r="I46" s="69"/>
    </row>
    <row r="47" spans="1:9">
      <c r="A47" s="46"/>
      <c r="B47" s="47"/>
      <c r="C47" s="52"/>
      <c r="D47" s="69"/>
      <c r="E47" s="46"/>
      <c r="F47" s="46"/>
      <c r="G47" s="46"/>
      <c r="H47" s="46"/>
      <c r="I47" s="69"/>
    </row>
    <row r="48" spans="1:9">
      <c r="A48" s="46"/>
      <c r="B48" s="47"/>
      <c r="C48" s="52"/>
      <c r="D48" s="69"/>
      <c r="E48" s="46"/>
      <c r="F48" s="46"/>
      <c r="G48" s="46"/>
      <c r="H48" s="46"/>
      <c r="I48" s="69"/>
    </row>
    <row r="49" spans="1:9">
      <c r="A49" s="46"/>
      <c r="B49" s="47"/>
      <c r="C49" s="52"/>
      <c r="D49" s="69"/>
      <c r="E49" s="46"/>
      <c r="F49" s="46"/>
      <c r="G49" s="46"/>
      <c r="H49" s="46"/>
      <c r="I49" s="69"/>
    </row>
    <row r="50" spans="1:9">
      <c r="A50" s="46"/>
      <c r="B50" s="47"/>
      <c r="C50" s="52"/>
      <c r="D50" s="69"/>
      <c r="E50" s="46"/>
      <c r="F50" s="46"/>
      <c r="G50" s="46"/>
      <c r="H50" s="46"/>
      <c r="I50" s="69"/>
    </row>
    <row r="51" spans="1:9">
      <c r="A51" s="46"/>
      <c r="B51" s="47"/>
      <c r="C51" s="52"/>
      <c r="D51" s="69"/>
      <c r="E51" s="46"/>
      <c r="F51" s="46"/>
      <c r="G51" s="46"/>
      <c r="H51" s="46"/>
      <c r="I51" s="69"/>
    </row>
    <row r="52" spans="1:9">
      <c r="A52" s="46"/>
      <c r="B52" s="47"/>
      <c r="C52" s="52"/>
      <c r="D52" s="69"/>
      <c r="E52" s="46"/>
      <c r="F52" s="46"/>
      <c r="G52" s="46"/>
      <c r="H52" s="46"/>
      <c r="I52" s="69"/>
    </row>
    <row r="53" spans="1:9">
      <c r="A53" s="46"/>
      <c r="B53" s="47"/>
      <c r="C53" s="52"/>
      <c r="D53" s="69"/>
      <c r="E53" s="46"/>
      <c r="F53" s="46"/>
      <c r="G53" s="46"/>
      <c r="H53" s="46"/>
      <c r="I53" s="69"/>
    </row>
    <row r="54" spans="1:9">
      <c r="A54" s="46"/>
      <c r="B54" s="47"/>
      <c r="C54" s="52"/>
      <c r="D54" s="69"/>
      <c r="E54" s="46"/>
      <c r="F54" s="46"/>
      <c r="G54" s="46"/>
      <c r="H54" s="46"/>
      <c r="I54" s="69"/>
    </row>
    <row r="55" spans="1:9">
      <c r="A55" s="46"/>
      <c r="B55" s="47"/>
      <c r="C55" s="52"/>
      <c r="D55" s="69"/>
      <c r="E55" s="46"/>
      <c r="F55" s="46"/>
      <c r="G55" s="46"/>
      <c r="H55" s="46"/>
      <c r="I55" s="69"/>
    </row>
    <row r="56" spans="1:9">
      <c r="A56" s="46"/>
      <c r="B56" s="47"/>
      <c r="C56" s="52"/>
      <c r="D56" s="69"/>
      <c r="E56" s="46"/>
      <c r="F56" s="46"/>
      <c r="G56" s="46"/>
      <c r="H56" s="46"/>
      <c r="I56" s="69"/>
    </row>
    <row r="57" spans="1:9">
      <c r="A57" s="46"/>
      <c r="B57" s="47"/>
      <c r="C57" s="52"/>
      <c r="D57" s="69"/>
      <c r="E57" s="46"/>
      <c r="F57" s="46"/>
      <c r="G57" s="46"/>
      <c r="H57" s="46"/>
      <c r="I57" s="69"/>
    </row>
    <row r="58" spans="1:9">
      <c r="A58" s="46"/>
      <c r="B58" s="47"/>
      <c r="C58" s="52"/>
      <c r="D58" s="69"/>
      <c r="E58" s="46"/>
      <c r="F58" s="46"/>
      <c r="G58" s="46"/>
      <c r="H58" s="46"/>
      <c r="I58" s="69"/>
    </row>
    <row r="59" spans="1:9">
      <c r="A59" s="46"/>
      <c r="B59" s="47"/>
      <c r="C59" s="52"/>
      <c r="D59" s="69"/>
      <c r="E59" s="46"/>
      <c r="F59" s="46"/>
      <c r="G59" s="46"/>
      <c r="H59" s="46"/>
      <c r="I59" s="69"/>
    </row>
    <row r="60" spans="1:9">
      <c r="A60" s="46"/>
      <c r="B60" s="47"/>
      <c r="C60" s="52"/>
      <c r="D60" s="69"/>
      <c r="E60" s="46"/>
      <c r="F60" s="46"/>
      <c r="G60" s="46"/>
      <c r="H60" s="46"/>
      <c r="I60" s="69"/>
    </row>
    <row r="61" spans="1:9">
      <c r="A61" s="46"/>
      <c r="B61" s="47"/>
      <c r="C61" s="52"/>
      <c r="D61" s="69"/>
      <c r="E61" s="46"/>
      <c r="F61" s="46"/>
      <c r="G61" s="46"/>
      <c r="H61" s="46"/>
      <c r="I61" s="69"/>
    </row>
    <row r="62" spans="1:9">
      <c r="A62" s="46"/>
      <c r="B62" s="47"/>
      <c r="C62" s="52"/>
      <c r="D62" s="69"/>
      <c r="E62" s="46"/>
      <c r="F62" s="46"/>
      <c r="G62" s="46"/>
      <c r="H62" s="46"/>
      <c r="I62" s="69"/>
    </row>
    <row r="63" spans="1:9">
      <c r="A63" s="46"/>
      <c r="B63" s="47"/>
      <c r="C63" s="52"/>
      <c r="D63" s="69"/>
      <c r="E63" s="46"/>
      <c r="F63" s="46"/>
      <c r="G63" s="46"/>
      <c r="H63" s="46"/>
      <c r="I63" s="69"/>
    </row>
    <row r="64" spans="1:9">
      <c r="A64" s="46"/>
      <c r="B64" s="47"/>
      <c r="C64" s="52"/>
      <c r="D64" s="69"/>
      <c r="E64" s="46"/>
      <c r="F64" s="46"/>
      <c r="G64" s="46"/>
      <c r="H64" s="46"/>
      <c r="I64" s="69"/>
    </row>
    <row r="65" spans="1:9">
      <c r="A65" s="46"/>
      <c r="B65" s="47"/>
      <c r="C65" s="52"/>
      <c r="D65" s="69"/>
      <c r="E65" s="46"/>
      <c r="F65" s="46"/>
      <c r="G65" s="46"/>
      <c r="H65" s="46"/>
      <c r="I65" s="69"/>
    </row>
    <row r="66" spans="1:9">
      <c r="A66" s="46"/>
      <c r="B66" s="47"/>
      <c r="C66" s="52"/>
      <c r="D66" s="69"/>
      <c r="E66" s="46"/>
      <c r="F66" s="46"/>
      <c r="G66" s="46"/>
      <c r="H66" s="46"/>
      <c r="I66" s="69"/>
    </row>
    <row r="67" spans="1:9">
      <c r="A67" s="46"/>
      <c r="B67" s="47"/>
      <c r="C67" s="52"/>
      <c r="D67" s="69"/>
      <c r="E67" s="46"/>
      <c r="F67" s="46"/>
      <c r="G67" s="46"/>
      <c r="H67" s="46"/>
      <c r="I67" s="69"/>
    </row>
    <row r="68" spans="1:9">
      <c r="A68" s="46"/>
      <c r="B68" s="47"/>
      <c r="C68" s="52"/>
      <c r="D68" s="69"/>
      <c r="E68" s="46"/>
      <c r="F68" s="46"/>
      <c r="G68" s="46"/>
      <c r="H68" s="46"/>
      <c r="I68" s="69"/>
    </row>
    <row r="69" spans="1:9">
      <c r="A69" s="46"/>
      <c r="B69" s="47"/>
      <c r="C69" s="52"/>
      <c r="D69" s="69"/>
      <c r="E69" s="46"/>
      <c r="F69" s="46"/>
      <c r="G69" s="46"/>
      <c r="H69" s="46"/>
      <c r="I69" s="69"/>
    </row>
    <row r="70" spans="1:9">
      <c r="A70" s="46"/>
      <c r="B70" s="47"/>
      <c r="C70" s="52"/>
      <c r="D70" s="69"/>
      <c r="E70" s="46"/>
      <c r="F70" s="46"/>
      <c r="G70" s="46"/>
      <c r="H70" s="46"/>
      <c r="I70" s="69"/>
    </row>
    <row r="71" spans="1:9">
      <c r="A71" s="46"/>
      <c r="B71" s="47"/>
      <c r="C71" s="52"/>
      <c r="D71" s="69"/>
      <c r="E71" s="46"/>
      <c r="F71" s="46"/>
      <c r="G71" s="46"/>
      <c r="H71" s="46"/>
      <c r="I71" s="69"/>
    </row>
    <row r="72" spans="1:9">
      <c r="A72" s="46"/>
      <c r="B72" s="47"/>
      <c r="C72" s="52"/>
      <c r="D72" s="69"/>
      <c r="E72" s="46"/>
      <c r="F72" s="46"/>
      <c r="G72" s="46"/>
      <c r="H72" s="46"/>
      <c r="I72" s="69"/>
    </row>
    <row r="73" spans="1:9">
      <c r="A73" s="46"/>
      <c r="B73" s="47"/>
      <c r="C73" s="52"/>
      <c r="D73" s="69"/>
      <c r="E73" s="46"/>
      <c r="F73" s="46"/>
      <c r="G73" s="46"/>
      <c r="H73" s="46"/>
      <c r="I73" s="69"/>
    </row>
    <row r="74" spans="1:9">
      <c r="A74" s="46"/>
      <c r="B74" s="47"/>
      <c r="C74" s="52"/>
      <c r="D74" s="69"/>
      <c r="E74" s="46"/>
      <c r="F74" s="46"/>
      <c r="G74" s="46"/>
      <c r="H74" s="46"/>
      <c r="I74" s="69"/>
    </row>
    <row r="75" spans="1:9">
      <c r="A75" s="46"/>
      <c r="B75" s="47"/>
      <c r="C75" s="52"/>
      <c r="D75" s="69"/>
      <c r="E75" s="46"/>
      <c r="F75" s="46"/>
      <c r="G75" s="46"/>
      <c r="H75" s="46"/>
      <c r="I75" s="69"/>
    </row>
    <row r="76" spans="1:9">
      <c r="A76" s="46"/>
      <c r="B76" s="47"/>
      <c r="C76" s="52"/>
      <c r="D76" s="69"/>
      <c r="E76" s="46"/>
      <c r="F76" s="46"/>
      <c r="G76" s="46"/>
      <c r="H76" s="46"/>
      <c r="I76" s="69"/>
    </row>
    <row r="77" spans="1:9">
      <c r="A77" s="46"/>
      <c r="B77" s="47"/>
      <c r="C77" s="52"/>
      <c r="D77" s="69"/>
      <c r="E77" s="46"/>
      <c r="F77" s="46"/>
      <c r="G77" s="46"/>
      <c r="H77" s="46"/>
      <c r="I77" s="69"/>
    </row>
    <row r="78" spans="1:9">
      <c r="A78" s="46"/>
      <c r="B78" s="47"/>
      <c r="C78" s="52"/>
      <c r="D78" s="69"/>
      <c r="E78" s="46"/>
      <c r="F78" s="46"/>
      <c r="G78" s="46"/>
      <c r="H78" s="46"/>
      <c r="I78" s="69"/>
    </row>
    <row r="79" spans="1:9">
      <c r="A79" s="46"/>
      <c r="B79" s="47"/>
      <c r="C79" s="52"/>
      <c r="D79" s="69"/>
      <c r="E79" s="46"/>
      <c r="F79" s="46"/>
      <c r="G79" s="46"/>
      <c r="H79" s="46"/>
      <c r="I79" s="69"/>
    </row>
    <row r="80" spans="1:9">
      <c r="A80" s="46"/>
      <c r="B80" s="47"/>
      <c r="C80" s="52"/>
      <c r="D80" s="69"/>
      <c r="E80" s="46"/>
      <c r="F80" s="46"/>
      <c r="G80" s="46"/>
      <c r="H80" s="46"/>
      <c r="I80" s="69"/>
    </row>
    <row r="81" spans="1:9">
      <c r="A81" s="46"/>
      <c r="B81" s="47"/>
      <c r="C81" s="52"/>
      <c r="D81" s="69"/>
      <c r="E81" s="46"/>
      <c r="F81" s="46"/>
      <c r="G81" s="46"/>
      <c r="H81" s="46"/>
      <c r="I81" s="69"/>
    </row>
    <row r="82" spans="1:9">
      <c r="A82" s="46"/>
      <c r="B82" s="47"/>
      <c r="C82" s="52"/>
      <c r="D82" s="69"/>
      <c r="E82" s="46"/>
      <c r="F82" s="46"/>
      <c r="G82" s="46"/>
      <c r="H82" s="46"/>
      <c r="I82" s="69"/>
    </row>
    <row r="83" spans="1:9">
      <c r="A83" s="46"/>
      <c r="B83" s="47"/>
      <c r="C83" s="52"/>
      <c r="D83" s="69"/>
      <c r="E83" s="46"/>
      <c r="F83" s="46"/>
      <c r="G83" s="46"/>
      <c r="H83" s="46"/>
      <c r="I83" s="69"/>
    </row>
    <row r="84" spans="1:9">
      <c r="A84" s="46"/>
      <c r="B84" s="47"/>
      <c r="C84" s="52"/>
      <c r="D84" s="69"/>
      <c r="E84" s="46"/>
      <c r="F84" s="46"/>
      <c r="G84" s="46"/>
      <c r="H84" s="46"/>
      <c r="I84" s="69"/>
    </row>
    <row r="85" spans="1:9">
      <c r="A85" s="46"/>
      <c r="B85" s="47"/>
      <c r="C85" s="52"/>
      <c r="D85" s="69"/>
      <c r="E85" s="46"/>
      <c r="F85" s="46"/>
      <c r="G85" s="46"/>
      <c r="H85" s="46"/>
      <c r="I85" s="69"/>
    </row>
    <row r="86" spans="1:9">
      <c r="A86" s="46"/>
      <c r="B86" s="47"/>
      <c r="C86" s="52"/>
      <c r="D86" s="69"/>
      <c r="E86" s="46"/>
      <c r="F86" s="46"/>
      <c r="G86" s="46"/>
      <c r="H86" s="46"/>
      <c r="I86" s="69"/>
    </row>
    <row r="87" spans="1:9">
      <c r="A87" s="46"/>
      <c r="B87" s="47"/>
      <c r="C87" s="52"/>
      <c r="D87" s="69"/>
      <c r="E87" s="46"/>
      <c r="F87" s="46"/>
      <c r="G87" s="46"/>
      <c r="H87" s="46"/>
      <c r="I87" s="69"/>
    </row>
    <row r="88" spans="1:9">
      <c r="A88" s="46"/>
      <c r="B88" s="47"/>
      <c r="C88" s="52"/>
      <c r="D88" s="69"/>
      <c r="E88" s="46"/>
      <c r="F88" s="46"/>
      <c r="G88" s="46"/>
      <c r="H88" s="46"/>
      <c r="I88" s="69"/>
    </row>
    <row r="89" spans="1:9">
      <c r="A89" s="46"/>
      <c r="B89" s="47"/>
      <c r="C89" s="52"/>
      <c r="D89" s="69"/>
      <c r="E89" s="46"/>
      <c r="F89" s="46"/>
      <c r="G89" s="46"/>
      <c r="H89" s="46"/>
      <c r="I89" s="69"/>
    </row>
    <row r="90" spans="1:9">
      <c r="A90" s="46"/>
      <c r="B90" s="47"/>
      <c r="C90" s="52"/>
      <c r="D90" s="69"/>
      <c r="E90" s="46"/>
      <c r="F90" s="46"/>
      <c r="G90" s="46"/>
      <c r="H90" s="46"/>
      <c r="I90" s="69"/>
    </row>
    <row r="91" spans="1:9">
      <c r="A91" s="46"/>
      <c r="B91" s="47"/>
      <c r="C91" s="52"/>
      <c r="D91" s="69"/>
      <c r="E91" s="46"/>
      <c r="F91" s="46"/>
      <c r="G91" s="46"/>
      <c r="H91" s="46"/>
      <c r="I91" s="69"/>
    </row>
    <row r="92" spans="1:9">
      <c r="A92" s="46"/>
      <c r="B92" s="47"/>
      <c r="C92" s="52"/>
      <c r="D92" s="69"/>
      <c r="E92" s="46"/>
      <c r="F92" s="46"/>
      <c r="G92" s="46"/>
      <c r="H92" s="46"/>
      <c r="I92" s="69"/>
    </row>
    <row r="93" spans="1:9">
      <c r="A93" s="46"/>
      <c r="B93" s="47"/>
      <c r="C93" s="52"/>
      <c r="D93" s="69"/>
      <c r="E93" s="46"/>
      <c r="F93" s="46"/>
      <c r="G93" s="46"/>
      <c r="H93" s="46"/>
      <c r="I93" s="69"/>
    </row>
    <row r="94" spans="1:9">
      <c r="A94" s="46"/>
      <c r="B94" s="47"/>
      <c r="C94" s="52"/>
      <c r="D94" s="69"/>
      <c r="E94" s="46"/>
      <c r="F94" s="46"/>
      <c r="G94" s="46"/>
      <c r="H94" s="46"/>
      <c r="I94" s="69"/>
    </row>
    <row r="95" spans="1:9">
      <c r="A95" s="46"/>
      <c r="B95" s="47"/>
      <c r="C95" s="52"/>
      <c r="D95" s="69"/>
      <c r="E95" s="46"/>
      <c r="F95" s="46"/>
      <c r="G95" s="46"/>
      <c r="H95" s="46"/>
      <c r="I95" s="69"/>
    </row>
    <row r="96" spans="1:9">
      <c r="A96" s="46"/>
      <c r="B96" s="47"/>
      <c r="C96" s="52"/>
      <c r="D96" s="69"/>
      <c r="E96" s="46"/>
      <c r="F96" s="46"/>
      <c r="G96" s="46"/>
      <c r="H96" s="46"/>
      <c r="I96" s="69"/>
    </row>
    <row r="97" spans="1:9">
      <c r="A97" s="46"/>
      <c r="B97" s="47"/>
      <c r="C97" s="52"/>
      <c r="D97" s="69"/>
      <c r="E97" s="46"/>
      <c r="F97" s="46"/>
      <c r="G97" s="46"/>
      <c r="H97" s="46"/>
      <c r="I97" s="69"/>
    </row>
    <row r="98" spans="1:9">
      <c r="A98" s="46"/>
      <c r="B98" s="47"/>
      <c r="C98" s="52"/>
      <c r="D98" s="69"/>
      <c r="E98" s="46"/>
      <c r="F98" s="46"/>
      <c r="G98" s="46"/>
      <c r="H98" s="46"/>
      <c r="I98" s="69"/>
    </row>
    <row r="99" spans="1:9">
      <c r="A99" s="46"/>
      <c r="B99" s="47"/>
      <c r="C99" s="52"/>
      <c r="D99" s="69"/>
      <c r="E99" s="46"/>
      <c r="F99" s="46"/>
      <c r="G99" s="46"/>
      <c r="H99" s="46"/>
      <c r="I99" s="69"/>
    </row>
    <row r="100" spans="1:9">
      <c r="A100" s="46"/>
      <c r="B100" s="47"/>
      <c r="C100" s="52"/>
      <c r="D100" s="69"/>
      <c r="E100" s="46"/>
      <c r="F100" s="46"/>
      <c r="G100" s="46"/>
      <c r="H100" s="46"/>
      <c r="I100" s="69"/>
    </row>
    <row r="101" spans="1:9">
      <c r="A101" s="46"/>
      <c r="B101" s="47"/>
      <c r="C101" s="52"/>
      <c r="D101" s="69"/>
      <c r="E101" s="46"/>
      <c r="F101" s="46"/>
      <c r="G101" s="46"/>
      <c r="H101" s="46"/>
      <c r="I101" s="69"/>
    </row>
    <row r="102" spans="1:9">
      <c r="A102" s="46"/>
      <c r="B102" s="47"/>
      <c r="C102" s="52"/>
      <c r="D102" s="69"/>
      <c r="E102" s="46"/>
      <c r="F102" s="46"/>
      <c r="G102" s="46"/>
      <c r="H102" s="46"/>
      <c r="I102" s="69"/>
    </row>
    <row r="103" spans="1:9">
      <c r="A103" s="46"/>
      <c r="B103" s="47"/>
      <c r="C103" s="52"/>
      <c r="D103" s="69"/>
      <c r="E103" s="46"/>
      <c r="F103" s="46"/>
      <c r="G103" s="46"/>
      <c r="H103" s="46"/>
      <c r="I103" s="69"/>
    </row>
    <row r="104" spans="1:9">
      <c r="A104" s="46"/>
      <c r="B104" s="47"/>
      <c r="C104" s="52"/>
      <c r="D104" s="69"/>
      <c r="E104" s="46"/>
      <c r="F104" s="46"/>
      <c r="G104" s="46"/>
      <c r="H104" s="46"/>
      <c r="I104" s="69"/>
    </row>
    <row r="105" spans="1:9">
      <c r="A105" s="46"/>
      <c r="B105" s="47"/>
      <c r="C105" s="52"/>
      <c r="D105" s="69"/>
      <c r="E105" s="46"/>
      <c r="F105" s="46"/>
      <c r="G105" s="46"/>
      <c r="H105" s="46"/>
      <c r="I105" s="69"/>
    </row>
    <row r="106" spans="1:9">
      <c r="A106" s="46"/>
      <c r="B106" s="47"/>
      <c r="C106" s="52"/>
      <c r="D106" s="69"/>
      <c r="E106" s="46"/>
      <c r="F106" s="46"/>
      <c r="G106" s="46"/>
      <c r="H106" s="46"/>
      <c r="I106" s="69"/>
    </row>
    <row r="107" spans="1:9">
      <c r="A107" s="46"/>
      <c r="B107" s="47"/>
      <c r="C107" s="52"/>
      <c r="D107" s="69"/>
      <c r="E107" s="46"/>
      <c r="F107" s="46"/>
      <c r="G107" s="46"/>
      <c r="H107" s="46"/>
      <c r="I107" s="69"/>
    </row>
    <row r="108" spans="1:9">
      <c r="A108" s="46"/>
      <c r="B108" s="47"/>
      <c r="C108" s="52"/>
      <c r="D108" s="69"/>
      <c r="E108" s="46"/>
      <c r="F108" s="46"/>
      <c r="G108" s="46"/>
      <c r="H108" s="46"/>
      <c r="I108" s="69"/>
    </row>
    <row r="109" spans="1:9">
      <c r="A109" s="46"/>
      <c r="B109" s="47"/>
      <c r="C109" s="52"/>
      <c r="D109" s="69"/>
      <c r="E109" s="46"/>
      <c r="F109" s="46"/>
      <c r="G109" s="46"/>
      <c r="H109" s="46"/>
      <c r="I109" s="69"/>
    </row>
    <row r="110" spans="1:9">
      <c r="A110" s="46"/>
      <c r="B110" s="47"/>
      <c r="C110" s="52"/>
      <c r="D110" s="69"/>
      <c r="E110" s="46"/>
      <c r="F110" s="46"/>
      <c r="G110" s="46"/>
      <c r="H110" s="46"/>
      <c r="I110" s="69"/>
    </row>
    <row r="111" spans="1:9">
      <c r="A111" s="46"/>
      <c r="B111" s="47"/>
      <c r="C111" s="52"/>
      <c r="D111" s="69"/>
      <c r="E111" s="46"/>
      <c r="F111" s="46"/>
      <c r="G111" s="46"/>
      <c r="H111" s="46"/>
      <c r="I111" s="69"/>
    </row>
    <row r="112" spans="1:9">
      <c r="A112" s="46"/>
      <c r="B112" s="47"/>
      <c r="C112" s="52"/>
      <c r="D112" s="69"/>
      <c r="E112" s="46"/>
      <c r="F112" s="46"/>
      <c r="G112" s="46"/>
      <c r="H112" s="46"/>
      <c r="I112" s="69"/>
    </row>
    <row r="113" spans="1:9">
      <c r="A113" s="46"/>
      <c r="B113" s="47"/>
      <c r="C113" s="52"/>
      <c r="D113" s="69"/>
      <c r="E113" s="46"/>
      <c r="F113" s="46"/>
      <c r="G113" s="46"/>
      <c r="H113" s="46"/>
      <c r="I113" s="69"/>
    </row>
    <row r="114" spans="1:9">
      <c r="A114" s="46"/>
      <c r="B114" s="47"/>
      <c r="C114" s="52"/>
      <c r="D114" s="69"/>
      <c r="E114" s="46"/>
      <c r="F114" s="46"/>
      <c r="G114" s="46"/>
      <c r="H114" s="46"/>
      <c r="I114" s="69"/>
    </row>
    <row r="115" spans="1:9">
      <c r="A115" s="46"/>
      <c r="B115" s="47"/>
      <c r="C115" s="52"/>
      <c r="D115" s="69"/>
      <c r="E115" s="46"/>
      <c r="F115" s="46"/>
      <c r="G115" s="46"/>
      <c r="H115" s="46"/>
      <c r="I115" s="69"/>
    </row>
    <row r="116" spans="1:9">
      <c r="A116" s="46"/>
      <c r="B116" s="47"/>
      <c r="C116" s="52"/>
      <c r="D116" s="69"/>
      <c r="E116" s="46"/>
      <c r="F116" s="46"/>
      <c r="G116" s="46"/>
      <c r="H116" s="46"/>
      <c r="I116" s="69"/>
    </row>
    <row r="117" spans="1:9">
      <c r="A117" s="46"/>
      <c r="B117" s="47"/>
      <c r="C117" s="52"/>
      <c r="D117" s="69"/>
      <c r="E117" s="46"/>
      <c r="F117" s="46"/>
      <c r="G117" s="46"/>
      <c r="H117" s="46"/>
      <c r="I117" s="69"/>
    </row>
    <row r="118" spans="1:9">
      <c r="A118" s="46"/>
      <c r="B118" s="47"/>
      <c r="C118" s="52"/>
      <c r="D118" s="69"/>
      <c r="E118" s="46"/>
      <c r="F118" s="46"/>
      <c r="G118" s="46"/>
      <c r="H118" s="46"/>
      <c r="I118" s="69"/>
    </row>
    <row r="119" spans="1:9">
      <c r="A119" s="46"/>
      <c r="B119" s="47"/>
      <c r="C119" s="52"/>
      <c r="D119" s="69"/>
      <c r="E119" s="46"/>
      <c r="F119" s="46"/>
      <c r="G119" s="46"/>
      <c r="H119" s="46"/>
      <c r="I119" s="69"/>
    </row>
    <row r="120" spans="1:9">
      <c r="A120" s="46"/>
      <c r="B120" s="47"/>
      <c r="C120" s="52"/>
      <c r="D120" s="69"/>
      <c r="E120" s="46"/>
      <c r="F120" s="46"/>
      <c r="G120" s="46"/>
      <c r="H120" s="46"/>
      <c r="I120" s="69"/>
    </row>
    <row r="121" spans="1:9">
      <c r="A121" s="46"/>
      <c r="B121" s="47"/>
      <c r="C121" s="52"/>
      <c r="D121" s="69"/>
      <c r="E121" s="46"/>
      <c r="F121" s="46"/>
      <c r="G121" s="46"/>
      <c r="H121" s="46"/>
      <c r="I121" s="69"/>
    </row>
    <row r="122" spans="1:9">
      <c r="A122" s="46"/>
      <c r="B122" s="47"/>
      <c r="C122" s="52"/>
      <c r="D122" s="69"/>
      <c r="E122" s="46"/>
      <c r="F122" s="46"/>
      <c r="G122" s="46"/>
      <c r="H122" s="46"/>
      <c r="I122" s="69"/>
    </row>
    <row r="123" spans="1:9">
      <c r="A123" s="46"/>
      <c r="B123" s="47"/>
      <c r="C123" s="52"/>
      <c r="D123" s="69"/>
      <c r="E123" s="46"/>
      <c r="F123" s="46"/>
      <c r="G123" s="46"/>
      <c r="H123" s="46"/>
      <c r="I123" s="69"/>
    </row>
    <row r="124" spans="1:9">
      <c r="A124" s="46"/>
      <c r="B124" s="47"/>
      <c r="C124" s="52"/>
      <c r="D124" s="69"/>
      <c r="E124" s="46"/>
      <c r="F124" s="46"/>
      <c r="G124" s="46"/>
      <c r="H124" s="46"/>
      <c r="I124" s="69"/>
    </row>
  </sheetData>
  <mergeCells count="15">
    <mergeCell ref="K7:R7"/>
    <mergeCell ref="K8:R8"/>
    <mergeCell ref="B1:I1"/>
    <mergeCell ref="B2:I2"/>
    <mergeCell ref="B3:I3"/>
    <mergeCell ref="B4:I4"/>
    <mergeCell ref="B5:I5"/>
    <mergeCell ref="B6:I6"/>
    <mergeCell ref="D13:I13"/>
    <mergeCell ref="D18:I18"/>
    <mergeCell ref="A7:A8"/>
    <mergeCell ref="B7:B8"/>
    <mergeCell ref="C7:C8"/>
    <mergeCell ref="D7:H7"/>
    <mergeCell ref="I7:I8"/>
  </mergeCells>
  <pageMargins left="0.45" right="0.45" top="0.75" bottom="0.5" header="0.3" footer="0.3"/>
  <pageSetup scale="85" orientation="portrait" r:id="rId1"/>
  <headerFooter>
    <oddFooter>&amp;CPage no  &amp;P  MB-  1003</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24"/>
  <sheetViews>
    <sheetView view="pageBreakPreview" zoomScale="90" zoomScaleSheetLayoutView="90" workbookViewId="0">
      <selection activeCell="B7" sqref="B7:B8"/>
    </sheetView>
  </sheetViews>
  <sheetFormatPr defaultColWidth="9.140625" defaultRowHeight="14.25"/>
  <cols>
    <col min="1" max="1" width="10.140625" style="37" customWidth="1"/>
    <col min="2" max="2" width="7" style="48" customWidth="1"/>
    <col min="3" max="3" width="42.85546875" style="53" customWidth="1"/>
    <col min="4" max="4" width="4.28515625" style="70" bestFit="1" customWidth="1"/>
    <col min="5" max="6" width="9.28515625" style="37" bestFit="1" customWidth="1"/>
    <col min="7" max="7" width="7.7109375" style="37" bestFit="1" customWidth="1"/>
    <col min="8" max="8" width="11.85546875" style="37" customWidth="1"/>
    <col min="9" max="9" width="9.28515625" style="70" customWidth="1"/>
    <col min="10" max="10" width="9.140625" style="37"/>
    <col min="11" max="12" width="9.28515625" style="37" bestFit="1" customWidth="1"/>
    <col min="13" max="13" width="9.7109375" style="37" bestFit="1" customWidth="1"/>
    <col min="14" max="16384" width="9.140625" style="37"/>
  </cols>
  <sheetData>
    <row r="1" spans="1:18" ht="34.15" customHeight="1">
      <c r="A1" s="56" t="s">
        <v>78</v>
      </c>
      <c r="B1" s="309" t="s">
        <v>85</v>
      </c>
      <c r="C1" s="310"/>
      <c r="D1" s="310"/>
      <c r="E1" s="310"/>
      <c r="F1" s="310"/>
      <c r="G1" s="310"/>
      <c r="H1" s="310"/>
      <c r="I1" s="311"/>
    </row>
    <row r="2" spans="1:18" ht="24.75" customHeight="1">
      <c r="A2" s="56" t="s">
        <v>79</v>
      </c>
      <c r="B2" s="298" t="s">
        <v>88</v>
      </c>
      <c r="C2" s="299"/>
      <c r="D2" s="299"/>
      <c r="E2" s="299"/>
      <c r="F2" s="299"/>
      <c r="G2" s="299"/>
      <c r="H2" s="299"/>
      <c r="I2" s="300"/>
    </row>
    <row r="3" spans="1:18" ht="24.75" customHeight="1">
      <c r="A3" s="57" t="s">
        <v>93</v>
      </c>
      <c r="B3" s="298" t="s">
        <v>95</v>
      </c>
      <c r="C3" s="299"/>
      <c r="D3" s="299"/>
      <c r="E3" s="299"/>
      <c r="F3" s="299"/>
      <c r="G3" s="299"/>
      <c r="H3" s="299"/>
      <c r="I3" s="300"/>
    </row>
    <row r="4" spans="1:18" ht="24.75" customHeight="1">
      <c r="A4" s="57" t="s">
        <v>80</v>
      </c>
      <c r="B4" s="298" t="s">
        <v>90</v>
      </c>
      <c r="C4" s="299"/>
      <c r="D4" s="299"/>
      <c r="E4" s="299"/>
      <c r="F4" s="299"/>
      <c r="G4" s="299"/>
      <c r="H4" s="299"/>
      <c r="I4" s="300"/>
    </row>
    <row r="5" spans="1:18" ht="24.75" customHeight="1">
      <c r="A5" s="57" t="s">
        <v>92</v>
      </c>
      <c r="B5" s="298" t="s">
        <v>91</v>
      </c>
      <c r="C5" s="299"/>
      <c r="D5" s="299"/>
      <c r="E5" s="299"/>
      <c r="F5" s="299"/>
      <c r="G5" s="299"/>
      <c r="H5" s="299"/>
      <c r="I5" s="300"/>
    </row>
    <row r="6" spans="1:18" ht="25.5" customHeight="1">
      <c r="A6" s="57" t="s">
        <v>81</v>
      </c>
      <c r="B6" s="301" t="s">
        <v>114</v>
      </c>
      <c r="C6" s="302">
        <v>1</v>
      </c>
      <c r="D6" s="302"/>
      <c r="E6" s="302"/>
      <c r="F6" s="302"/>
      <c r="G6" s="302"/>
      <c r="H6" s="302"/>
      <c r="I6" s="303"/>
      <c r="L6" s="38"/>
    </row>
    <row r="7" spans="1:18" ht="24.95" customHeight="1">
      <c r="A7" s="289" t="s">
        <v>82</v>
      </c>
      <c r="B7" s="289" t="s">
        <v>15</v>
      </c>
      <c r="C7" s="290" t="s">
        <v>4</v>
      </c>
      <c r="D7" s="294" t="s">
        <v>83</v>
      </c>
      <c r="E7" s="294"/>
      <c r="F7" s="294"/>
      <c r="G7" s="294"/>
      <c r="H7" s="294"/>
      <c r="I7" s="294" t="s">
        <v>9</v>
      </c>
      <c r="J7" s="39"/>
      <c r="K7" s="293"/>
      <c r="L7" s="293"/>
      <c r="M7" s="293"/>
      <c r="N7" s="293"/>
      <c r="O7" s="293"/>
      <c r="P7" s="293"/>
      <c r="Q7" s="293"/>
      <c r="R7" s="293"/>
    </row>
    <row r="8" spans="1:18" ht="31.5" customHeight="1">
      <c r="A8" s="289"/>
      <c r="B8" s="289"/>
      <c r="C8" s="291"/>
      <c r="D8" s="202" t="s">
        <v>18</v>
      </c>
      <c r="E8" s="202" t="s">
        <v>0</v>
      </c>
      <c r="F8" s="202" t="s">
        <v>1</v>
      </c>
      <c r="G8" s="59" t="s">
        <v>2</v>
      </c>
      <c r="H8" s="202" t="s">
        <v>84</v>
      </c>
      <c r="I8" s="294"/>
      <c r="J8" s="39"/>
      <c r="K8" s="292"/>
      <c r="L8" s="292"/>
      <c r="M8" s="292"/>
      <c r="N8" s="292"/>
      <c r="O8" s="292"/>
      <c r="P8" s="292"/>
      <c r="Q8" s="292"/>
      <c r="R8" s="292"/>
    </row>
    <row r="9" spans="1:18" ht="22.5" customHeight="1">
      <c r="A9" s="168"/>
      <c r="B9" s="62"/>
      <c r="C9" s="62"/>
      <c r="D9" s="62"/>
      <c r="E9" s="62"/>
      <c r="F9" s="62"/>
      <c r="G9" s="62"/>
      <c r="H9" s="62"/>
      <c r="I9" s="169"/>
    </row>
    <row r="10" spans="1:18" ht="22.5" customHeight="1">
      <c r="A10" s="168"/>
      <c r="B10" s="62"/>
      <c r="C10" s="62"/>
      <c r="D10" s="62"/>
      <c r="E10" s="62"/>
      <c r="F10" s="62"/>
      <c r="G10" s="62"/>
      <c r="H10" s="62"/>
      <c r="I10" s="169"/>
    </row>
    <row r="11" spans="1:18" ht="22.5" customHeight="1">
      <c r="A11" s="168"/>
      <c r="B11" s="62"/>
      <c r="C11" s="62"/>
      <c r="D11" s="62"/>
      <c r="E11" s="62"/>
      <c r="F11" s="62"/>
      <c r="G11" s="62"/>
      <c r="H11" s="62"/>
      <c r="I11" s="169"/>
    </row>
    <row r="12" spans="1:18" ht="22.5" customHeight="1">
      <c r="A12" s="168"/>
      <c r="B12" s="62"/>
      <c r="C12" s="62"/>
      <c r="D12" s="62"/>
      <c r="E12" s="62"/>
      <c r="F12" s="62"/>
      <c r="G12" s="62"/>
      <c r="H12" s="62"/>
      <c r="I12" s="169"/>
    </row>
    <row r="13" spans="1:18" ht="22.5" customHeight="1">
      <c r="A13" s="168"/>
      <c r="B13" s="62"/>
      <c r="C13" s="62"/>
      <c r="D13" s="62"/>
      <c r="E13" s="62"/>
      <c r="F13" s="62"/>
      <c r="G13" s="62"/>
      <c r="H13" s="62"/>
      <c r="I13" s="169"/>
    </row>
    <row r="14" spans="1:18" ht="22.5" customHeight="1">
      <c r="A14" s="168"/>
      <c r="B14" s="62"/>
      <c r="C14" s="62"/>
      <c r="D14" s="62"/>
      <c r="E14" s="62"/>
      <c r="F14" s="62"/>
      <c r="G14" s="62"/>
      <c r="H14" s="62"/>
      <c r="I14" s="169"/>
    </row>
    <row r="15" spans="1:18" ht="22.5" customHeight="1">
      <c r="A15" s="168"/>
      <c r="B15" s="62"/>
      <c r="C15" s="62"/>
      <c r="D15" s="62"/>
      <c r="E15" s="62"/>
      <c r="F15" s="62"/>
      <c r="G15" s="62"/>
      <c r="H15" s="62"/>
      <c r="I15" s="169"/>
    </row>
    <row r="16" spans="1:18" ht="22.5" customHeight="1">
      <c r="A16" s="168"/>
      <c r="B16" s="62"/>
      <c r="C16" s="62"/>
      <c r="D16" s="62"/>
      <c r="E16" s="62"/>
      <c r="F16" s="62"/>
      <c r="G16" s="62"/>
      <c r="H16" s="62"/>
      <c r="I16" s="169"/>
    </row>
    <row r="17" spans="1:9" ht="22.5" customHeight="1">
      <c r="A17" s="168"/>
      <c r="B17" s="62"/>
      <c r="C17" s="62"/>
      <c r="D17" s="62"/>
      <c r="E17" s="62"/>
      <c r="F17" s="62"/>
      <c r="G17" s="62"/>
      <c r="H17" s="62"/>
      <c r="I17" s="169"/>
    </row>
    <row r="18" spans="1:9" ht="22.5" customHeight="1">
      <c r="A18" s="168"/>
      <c r="B18" s="62"/>
      <c r="C18" s="62"/>
      <c r="D18" s="62"/>
      <c r="E18" s="62"/>
      <c r="F18" s="62"/>
      <c r="G18" s="62"/>
      <c r="H18" s="62"/>
      <c r="I18" s="169"/>
    </row>
    <row r="19" spans="1:9" ht="22.5" customHeight="1">
      <c r="A19" s="168"/>
      <c r="B19" s="62"/>
      <c r="C19" s="62"/>
      <c r="D19" s="62"/>
      <c r="E19" s="62"/>
      <c r="F19" s="62"/>
      <c r="G19" s="62"/>
      <c r="H19" s="62"/>
      <c r="I19" s="169"/>
    </row>
    <row r="20" spans="1:9" ht="22.5" customHeight="1">
      <c r="A20" s="168"/>
      <c r="B20" s="62"/>
      <c r="C20" s="62"/>
      <c r="D20" s="62"/>
      <c r="E20" s="62"/>
      <c r="F20" s="62"/>
      <c r="G20" s="62"/>
      <c r="H20" s="62"/>
      <c r="I20" s="169"/>
    </row>
    <row r="21" spans="1:9" ht="22.5" customHeight="1">
      <c r="A21" s="168"/>
      <c r="B21" s="62"/>
      <c r="C21" s="62"/>
      <c r="D21" s="62"/>
      <c r="E21" s="62"/>
      <c r="F21" s="62"/>
      <c r="G21" s="62"/>
      <c r="H21" s="62"/>
      <c r="I21" s="169"/>
    </row>
    <row r="22" spans="1:9" ht="22.5" customHeight="1">
      <c r="A22" s="74"/>
      <c r="B22" s="72"/>
      <c r="C22" s="51"/>
      <c r="D22" s="76"/>
      <c r="E22" s="62"/>
      <c r="F22" s="62"/>
      <c r="G22" s="62"/>
      <c r="H22" s="62"/>
      <c r="I22" s="67"/>
    </row>
    <row r="23" spans="1:9" ht="22.5" customHeight="1">
      <c r="A23" s="74"/>
      <c r="B23" s="72"/>
      <c r="C23" s="51"/>
      <c r="D23" s="60"/>
      <c r="E23" s="60"/>
      <c r="F23" s="60"/>
      <c r="G23" s="40"/>
      <c r="H23" s="40"/>
      <c r="I23" s="170"/>
    </row>
    <row r="24" spans="1:9" ht="22.5" customHeight="1">
      <c r="A24" s="74"/>
      <c r="B24" s="72"/>
      <c r="C24" s="51"/>
      <c r="D24" s="60"/>
      <c r="E24" s="60"/>
      <c r="F24" s="60"/>
      <c r="G24" s="40"/>
      <c r="H24" s="40"/>
      <c r="I24" s="170"/>
    </row>
    <row r="25" spans="1:9" ht="22.5" customHeight="1">
      <c r="A25" s="74"/>
      <c r="B25" s="72"/>
      <c r="C25" s="78"/>
      <c r="D25" s="60"/>
      <c r="E25" s="60"/>
      <c r="F25" s="60"/>
      <c r="G25" s="40"/>
      <c r="H25" s="79"/>
      <c r="I25" s="171"/>
    </row>
    <row r="26" spans="1:9" ht="22.5" customHeight="1">
      <c r="A26" s="74"/>
      <c r="B26" s="72"/>
      <c r="C26" s="51"/>
      <c r="D26" s="139"/>
      <c r="E26" s="139"/>
      <c r="F26" s="139"/>
      <c r="G26" s="139"/>
      <c r="H26" s="139"/>
      <c r="I26" s="140"/>
    </row>
    <row r="27" spans="1:9" ht="22.5" customHeight="1">
      <c r="A27" s="74"/>
      <c r="B27" s="72"/>
      <c r="C27" s="51"/>
      <c r="D27" s="76"/>
      <c r="E27" s="62"/>
      <c r="F27" s="62"/>
      <c r="G27" s="62"/>
      <c r="H27" s="62"/>
      <c r="I27" s="67"/>
    </row>
    <row r="28" spans="1:9" ht="22.5" customHeight="1">
      <c r="A28" s="74"/>
      <c r="B28" s="72"/>
      <c r="C28" s="51"/>
      <c r="D28" s="76"/>
      <c r="E28" s="62"/>
      <c r="F28" s="62"/>
      <c r="G28" s="62"/>
      <c r="H28" s="62"/>
      <c r="I28" s="67"/>
    </row>
    <row r="29" spans="1:9" ht="22.5" customHeight="1">
      <c r="A29" s="74"/>
      <c r="B29" s="72"/>
      <c r="C29" s="51"/>
      <c r="D29" s="76"/>
      <c r="E29" s="62"/>
      <c r="F29" s="62"/>
      <c r="G29" s="62"/>
      <c r="H29" s="62"/>
      <c r="I29" s="67"/>
    </row>
    <row r="30" spans="1:9" ht="22.5" customHeight="1">
      <c r="A30" s="74"/>
      <c r="B30" s="72"/>
      <c r="C30" s="51"/>
      <c r="D30" s="76"/>
      <c r="E30" s="62"/>
      <c r="F30" s="62"/>
      <c r="G30" s="62"/>
      <c r="H30" s="62"/>
      <c r="I30" s="67"/>
    </row>
    <row r="31" spans="1:9" ht="22.5" customHeight="1">
      <c r="A31" s="74"/>
      <c r="B31" s="72"/>
      <c r="C31" s="51"/>
      <c r="D31" s="76"/>
      <c r="E31" s="62"/>
      <c r="F31" s="62"/>
      <c r="G31" s="62"/>
      <c r="H31" s="62"/>
      <c r="I31" s="67"/>
    </row>
    <row r="32" spans="1:9" ht="22.5" customHeight="1">
      <c r="A32" s="74"/>
      <c r="B32" s="72"/>
      <c r="C32" s="51"/>
      <c r="D32" s="65"/>
      <c r="E32" s="60"/>
      <c r="F32" s="60"/>
      <c r="G32" s="60"/>
      <c r="H32" s="40"/>
      <c r="I32" s="80"/>
    </row>
    <row r="33" spans="1:9" ht="22.5" customHeight="1">
      <c r="A33" s="74"/>
      <c r="B33" s="72"/>
      <c r="C33" s="51"/>
      <c r="D33" s="65"/>
      <c r="E33" s="60"/>
      <c r="F33" s="60"/>
      <c r="G33" s="60"/>
      <c r="H33" s="40"/>
      <c r="I33" s="80"/>
    </row>
    <row r="34" spans="1:9" ht="22.5" customHeight="1">
      <c r="A34" s="74"/>
      <c r="B34" s="72"/>
      <c r="C34" s="78"/>
      <c r="D34" s="76"/>
      <c r="E34" s="62"/>
      <c r="F34" s="62"/>
      <c r="G34" s="62"/>
      <c r="H34" s="79"/>
      <c r="I34" s="67"/>
    </row>
    <row r="35" spans="1:9" ht="22.5" customHeight="1">
      <c r="A35" s="74"/>
      <c r="B35" s="72"/>
      <c r="C35" s="51"/>
      <c r="D35" s="76"/>
      <c r="E35" s="62"/>
      <c r="F35" s="62"/>
      <c r="G35" s="62"/>
      <c r="H35" s="79"/>
      <c r="I35" s="67"/>
    </row>
    <row r="36" spans="1:9" ht="22.5" customHeight="1">
      <c r="A36" s="172"/>
      <c r="B36" s="173"/>
      <c r="C36" s="174"/>
      <c r="D36" s="175"/>
      <c r="E36" s="176"/>
      <c r="F36" s="176"/>
      <c r="G36" s="176"/>
      <c r="H36" s="176"/>
      <c r="I36" s="177"/>
    </row>
    <row r="37" spans="1:9">
      <c r="A37" s="46"/>
      <c r="B37" s="47"/>
      <c r="C37" s="52"/>
      <c r="D37" s="69"/>
      <c r="E37" s="46"/>
      <c r="F37" s="46"/>
      <c r="G37" s="46"/>
      <c r="H37" s="46"/>
      <c r="I37" s="69"/>
    </row>
    <row r="38" spans="1:9">
      <c r="A38" s="46"/>
      <c r="B38" s="47"/>
      <c r="C38" s="52"/>
      <c r="D38" s="69"/>
      <c r="E38" s="46"/>
      <c r="F38" s="46"/>
      <c r="G38" s="46"/>
      <c r="H38" s="46"/>
      <c r="I38" s="69"/>
    </row>
    <row r="39" spans="1:9">
      <c r="A39" s="46"/>
      <c r="B39" s="47"/>
      <c r="C39" s="52"/>
      <c r="D39" s="69"/>
      <c r="E39" s="46"/>
      <c r="F39" s="46"/>
      <c r="G39" s="46"/>
      <c r="H39" s="46"/>
      <c r="I39" s="69"/>
    </row>
    <row r="40" spans="1:9">
      <c r="A40" s="46"/>
      <c r="B40" s="47"/>
      <c r="C40" s="52"/>
      <c r="D40" s="69"/>
      <c r="E40" s="46"/>
      <c r="F40" s="46"/>
      <c r="G40" s="46"/>
      <c r="H40" s="46"/>
      <c r="I40" s="69"/>
    </row>
    <row r="41" spans="1:9">
      <c r="A41" s="46"/>
      <c r="B41" s="47"/>
      <c r="C41" s="52"/>
      <c r="D41" s="69"/>
      <c r="E41" s="46"/>
      <c r="F41" s="46"/>
      <c r="G41" s="46"/>
      <c r="H41" s="46"/>
      <c r="I41" s="69"/>
    </row>
    <row r="42" spans="1:9">
      <c r="A42" s="46"/>
      <c r="B42" s="47"/>
      <c r="C42" s="52"/>
      <c r="D42" s="69"/>
      <c r="E42" s="46"/>
      <c r="F42" s="46"/>
      <c r="G42" s="46"/>
      <c r="H42" s="46"/>
      <c r="I42" s="69"/>
    </row>
    <row r="43" spans="1:9">
      <c r="A43" s="46"/>
      <c r="B43" s="47"/>
      <c r="C43" s="52"/>
      <c r="D43" s="69"/>
      <c r="E43" s="46"/>
      <c r="F43" s="46"/>
      <c r="G43" s="46"/>
      <c r="H43" s="46"/>
      <c r="I43" s="69"/>
    </row>
    <row r="44" spans="1:9">
      <c r="A44" s="46"/>
      <c r="B44" s="47"/>
      <c r="C44" s="52"/>
      <c r="D44" s="69"/>
      <c r="E44" s="46"/>
      <c r="F44" s="46"/>
      <c r="G44" s="46"/>
      <c r="H44" s="46"/>
      <c r="I44" s="69"/>
    </row>
    <row r="45" spans="1:9">
      <c r="A45" s="46"/>
      <c r="B45" s="47"/>
      <c r="C45" s="52"/>
      <c r="D45" s="69"/>
      <c r="E45" s="46"/>
      <c r="F45" s="46"/>
      <c r="G45" s="46"/>
      <c r="H45" s="46"/>
      <c r="I45" s="69"/>
    </row>
    <row r="46" spans="1:9">
      <c r="A46" s="46"/>
      <c r="B46" s="47"/>
      <c r="C46" s="52"/>
      <c r="D46" s="69"/>
      <c r="E46" s="46"/>
      <c r="F46" s="46"/>
      <c r="G46" s="46"/>
      <c r="H46" s="46"/>
      <c r="I46" s="69"/>
    </row>
    <row r="47" spans="1:9">
      <c r="A47" s="46"/>
      <c r="B47" s="47"/>
      <c r="C47" s="52"/>
      <c r="D47" s="69"/>
      <c r="E47" s="46"/>
      <c r="F47" s="46"/>
      <c r="G47" s="46"/>
      <c r="H47" s="46"/>
      <c r="I47" s="69"/>
    </row>
    <row r="48" spans="1:9">
      <c r="A48" s="46"/>
      <c r="B48" s="47"/>
      <c r="C48" s="52"/>
      <c r="D48" s="69"/>
      <c r="E48" s="46"/>
      <c r="F48" s="46"/>
      <c r="G48" s="46"/>
      <c r="H48" s="46"/>
      <c r="I48" s="69"/>
    </row>
    <row r="49" spans="1:9">
      <c r="A49" s="46"/>
      <c r="B49" s="47"/>
      <c r="C49" s="52"/>
      <c r="D49" s="69"/>
      <c r="E49" s="46"/>
      <c r="F49" s="46"/>
      <c r="G49" s="46"/>
      <c r="H49" s="46"/>
      <c r="I49" s="69"/>
    </row>
    <row r="50" spans="1:9">
      <c r="A50" s="46"/>
      <c r="B50" s="47"/>
      <c r="C50" s="52"/>
      <c r="D50" s="69"/>
      <c r="E50" s="46"/>
      <c r="F50" s="46"/>
      <c r="G50" s="46"/>
      <c r="H50" s="46"/>
      <c r="I50" s="69"/>
    </row>
    <row r="51" spans="1:9">
      <c r="A51" s="46"/>
      <c r="B51" s="47"/>
      <c r="C51" s="52"/>
      <c r="D51" s="69"/>
      <c r="E51" s="46"/>
      <c r="F51" s="46"/>
      <c r="G51" s="46"/>
      <c r="H51" s="46"/>
      <c r="I51" s="69"/>
    </row>
    <row r="52" spans="1:9">
      <c r="A52" s="46"/>
      <c r="B52" s="47"/>
      <c r="C52" s="52"/>
      <c r="D52" s="69"/>
      <c r="E52" s="46"/>
      <c r="F52" s="46"/>
      <c r="G52" s="46"/>
      <c r="H52" s="46"/>
      <c r="I52" s="69"/>
    </row>
    <row r="53" spans="1:9">
      <c r="A53" s="46"/>
      <c r="B53" s="47"/>
      <c r="C53" s="52"/>
      <c r="D53" s="69"/>
      <c r="E53" s="46"/>
      <c r="F53" s="46"/>
      <c r="G53" s="46"/>
      <c r="H53" s="46"/>
      <c r="I53" s="69"/>
    </row>
    <row r="54" spans="1:9">
      <c r="A54" s="46"/>
      <c r="B54" s="47"/>
      <c r="C54" s="52"/>
      <c r="D54" s="69"/>
      <c r="E54" s="46"/>
      <c r="F54" s="46"/>
      <c r="G54" s="46"/>
      <c r="H54" s="46"/>
      <c r="I54" s="69"/>
    </row>
    <row r="55" spans="1:9">
      <c r="A55" s="46"/>
      <c r="B55" s="47"/>
      <c r="C55" s="52"/>
      <c r="D55" s="69"/>
      <c r="E55" s="46"/>
      <c r="F55" s="46"/>
      <c r="G55" s="46"/>
      <c r="H55" s="46"/>
      <c r="I55" s="69"/>
    </row>
    <row r="56" spans="1:9">
      <c r="A56" s="46"/>
      <c r="B56" s="47"/>
      <c r="C56" s="52"/>
      <c r="D56" s="69"/>
      <c r="E56" s="46"/>
      <c r="F56" s="46"/>
      <c r="G56" s="46"/>
      <c r="H56" s="46"/>
      <c r="I56" s="69"/>
    </row>
    <row r="57" spans="1:9">
      <c r="A57" s="46"/>
      <c r="B57" s="47"/>
      <c r="C57" s="52"/>
      <c r="D57" s="69"/>
      <c r="E57" s="46"/>
      <c r="F57" s="46"/>
      <c r="G57" s="46"/>
      <c r="H57" s="46"/>
      <c r="I57" s="69"/>
    </row>
    <row r="58" spans="1:9">
      <c r="A58" s="46"/>
      <c r="B58" s="47"/>
      <c r="C58" s="52"/>
      <c r="D58" s="69"/>
      <c r="E58" s="46"/>
      <c r="F58" s="46"/>
      <c r="G58" s="46"/>
      <c r="H58" s="46"/>
      <c r="I58" s="69"/>
    </row>
    <row r="59" spans="1:9">
      <c r="A59" s="46"/>
      <c r="B59" s="47"/>
      <c r="C59" s="52"/>
      <c r="D59" s="69"/>
      <c r="E59" s="46"/>
      <c r="F59" s="46"/>
      <c r="G59" s="46"/>
      <c r="H59" s="46"/>
      <c r="I59" s="69"/>
    </row>
    <row r="60" spans="1:9">
      <c r="A60" s="46"/>
      <c r="B60" s="47"/>
      <c r="C60" s="52"/>
      <c r="D60" s="69"/>
      <c r="E60" s="46"/>
      <c r="F60" s="46"/>
      <c r="G60" s="46"/>
      <c r="H60" s="46"/>
      <c r="I60" s="69"/>
    </row>
    <row r="61" spans="1:9">
      <c r="A61" s="46"/>
      <c r="B61" s="47"/>
      <c r="C61" s="52"/>
      <c r="D61" s="69"/>
      <c r="E61" s="46"/>
      <c r="F61" s="46"/>
      <c r="G61" s="46"/>
      <c r="H61" s="46"/>
      <c r="I61" s="69"/>
    </row>
    <row r="62" spans="1:9">
      <c r="A62" s="46"/>
      <c r="B62" s="47"/>
      <c r="C62" s="52"/>
      <c r="D62" s="69"/>
      <c r="E62" s="46"/>
      <c r="F62" s="46"/>
      <c r="G62" s="46"/>
      <c r="H62" s="46"/>
      <c r="I62" s="69"/>
    </row>
    <row r="63" spans="1:9">
      <c r="A63" s="46"/>
      <c r="B63" s="47"/>
      <c r="C63" s="52"/>
      <c r="D63" s="69"/>
      <c r="E63" s="46"/>
      <c r="F63" s="46"/>
      <c r="G63" s="46"/>
      <c r="H63" s="46"/>
      <c r="I63" s="69"/>
    </row>
    <row r="64" spans="1:9">
      <c r="A64" s="46"/>
      <c r="B64" s="47"/>
      <c r="C64" s="52"/>
      <c r="D64" s="69"/>
      <c r="E64" s="46"/>
      <c r="F64" s="46"/>
      <c r="G64" s="46"/>
      <c r="H64" s="46"/>
      <c r="I64" s="69"/>
    </row>
    <row r="65" spans="1:9">
      <c r="A65" s="46"/>
      <c r="B65" s="47"/>
      <c r="C65" s="52"/>
      <c r="D65" s="69"/>
      <c r="E65" s="46"/>
      <c r="F65" s="46"/>
      <c r="G65" s="46"/>
      <c r="H65" s="46"/>
      <c r="I65" s="69"/>
    </row>
    <row r="66" spans="1:9">
      <c r="A66" s="46"/>
      <c r="B66" s="47"/>
      <c r="C66" s="52"/>
      <c r="D66" s="69"/>
      <c r="E66" s="46"/>
      <c r="F66" s="46"/>
      <c r="G66" s="46"/>
      <c r="H66" s="46"/>
      <c r="I66" s="69"/>
    </row>
    <row r="67" spans="1:9">
      <c r="A67" s="46"/>
      <c r="B67" s="47"/>
      <c r="C67" s="52"/>
      <c r="D67" s="69"/>
      <c r="E67" s="46"/>
      <c r="F67" s="46"/>
      <c r="G67" s="46"/>
      <c r="H67" s="46"/>
      <c r="I67" s="69"/>
    </row>
    <row r="68" spans="1:9">
      <c r="A68" s="46"/>
      <c r="B68" s="47"/>
      <c r="C68" s="52"/>
      <c r="D68" s="69"/>
      <c r="E68" s="46"/>
      <c r="F68" s="46"/>
      <c r="G68" s="46"/>
      <c r="H68" s="46"/>
      <c r="I68" s="69"/>
    </row>
    <row r="69" spans="1:9">
      <c r="A69" s="46"/>
      <c r="B69" s="47"/>
      <c r="C69" s="52"/>
      <c r="D69" s="69"/>
      <c r="E69" s="46"/>
      <c r="F69" s="46"/>
      <c r="G69" s="46"/>
      <c r="H69" s="46"/>
      <c r="I69" s="69"/>
    </row>
    <row r="70" spans="1:9">
      <c r="A70" s="46"/>
      <c r="B70" s="47"/>
      <c r="C70" s="52"/>
      <c r="D70" s="69"/>
      <c r="E70" s="46"/>
      <c r="F70" s="46"/>
      <c r="G70" s="46"/>
      <c r="H70" s="46"/>
      <c r="I70" s="69"/>
    </row>
    <row r="71" spans="1:9">
      <c r="A71" s="46"/>
      <c r="B71" s="47"/>
      <c r="C71" s="52"/>
      <c r="D71" s="69"/>
      <c r="E71" s="46"/>
      <c r="F71" s="46"/>
      <c r="G71" s="46"/>
      <c r="H71" s="46"/>
      <c r="I71" s="69"/>
    </row>
    <row r="72" spans="1:9">
      <c r="A72" s="46"/>
      <c r="B72" s="47"/>
      <c r="C72" s="52"/>
      <c r="D72" s="69"/>
      <c r="E72" s="46"/>
      <c r="F72" s="46"/>
      <c r="G72" s="46"/>
      <c r="H72" s="46"/>
      <c r="I72" s="69"/>
    </row>
    <row r="73" spans="1:9">
      <c r="A73" s="46"/>
      <c r="B73" s="47"/>
      <c r="C73" s="52"/>
      <c r="D73" s="69"/>
      <c r="E73" s="46"/>
      <c r="F73" s="46"/>
      <c r="G73" s="46"/>
      <c r="H73" s="46"/>
      <c r="I73" s="69"/>
    </row>
    <row r="74" spans="1:9">
      <c r="A74" s="46"/>
      <c r="B74" s="47"/>
      <c r="C74" s="52"/>
      <c r="D74" s="69"/>
      <c r="E74" s="46"/>
      <c r="F74" s="46"/>
      <c r="G74" s="46"/>
      <c r="H74" s="46"/>
      <c r="I74" s="69"/>
    </row>
    <row r="75" spans="1:9">
      <c r="A75" s="46"/>
      <c r="B75" s="47"/>
      <c r="C75" s="52"/>
      <c r="D75" s="69"/>
      <c r="E75" s="46"/>
      <c r="F75" s="46"/>
      <c r="G75" s="46"/>
      <c r="H75" s="46"/>
      <c r="I75" s="69"/>
    </row>
    <row r="76" spans="1:9">
      <c r="A76" s="46"/>
      <c r="B76" s="47"/>
      <c r="C76" s="52"/>
      <c r="D76" s="69"/>
      <c r="E76" s="46"/>
      <c r="F76" s="46"/>
      <c r="G76" s="46"/>
      <c r="H76" s="46"/>
      <c r="I76" s="69"/>
    </row>
    <row r="77" spans="1:9">
      <c r="A77" s="46"/>
      <c r="B77" s="47"/>
      <c r="C77" s="52"/>
      <c r="D77" s="69"/>
      <c r="E77" s="46"/>
      <c r="F77" s="46"/>
      <c r="G77" s="46"/>
      <c r="H77" s="46"/>
      <c r="I77" s="69"/>
    </row>
    <row r="78" spans="1:9">
      <c r="A78" s="46"/>
      <c r="B78" s="47"/>
      <c r="C78" s="52"/>
      <c r="D78" s="69"/>
      <c r="E78" s="46"/>
      <c r="F78" s="46"/>
      <c r="G78" s="46"/>
      <c r="H78" s="46"/>
      <c r="I78" s="69"/>
    </row>
    <row r="79" spans="1:9">
      <c r="A79" s="46"/>
      <c r="B79" s="47"/>
      <c r="C79" s="52"/>
      <c r="D79" s="69"/>
      <c r="E79" s="46"/>
      <c r="F79" s="46"/>
      <c r="G79" s="46"/>
      <c r="H79" s="46"/>
      <c r="I79" s="69"/>
    </row>
    <row r="80" spans="1:9">
      <c r="A80" s="46"/>
      <c r="B80" s="47"/>
      <c r="C80" s="52"/>
      <c r="D80" s="69"/>
      <c r="E80" s="46"/>
      <c r="F80" s="46"/>
      <c r="G80" s="46"/>
      <c r="H80" s="46"/>
      <c r="I80" s="69"/>
    </row>
    <row r="81" spans="1:9">
      <c r="A81" s="46"/>
      <c r="B81" s="47"/>
      <c r="C81" s="52"/>
      <c r="D81" s="69"/>
      <c r="E81" s="46"/>
      <c r="F81" s="46"/>
      <c r="G81" s="46"/>
      <c r="H81" s="46"/>
      <c r="I81" s="69"/>
    </row>
    <row r="82" spans="1:9">
      <c r="A82" s="46"/>
      <c r="B82" s="47"/>
      <c r="C82" s="52"/>
      <c r="D82" s="69"/>
      <c r="E82" s="46"/>
      <c r="F82" s="46"/>
      <c r="G82" s="46"/>
      <c r="H82" s="46"/>
      <c r="I82" s="69"/>
    </row>
    <row r="83" spans="1:9">
      <c r="A83" s="46"/>
      <c r="B83" s="47"/>
      <c r="C83" s="52"/>
      <c r="D83" s="69"/>
      <c r="E83" s="46"/>
      <c r="F83" s="46"/>
      <c r="G83" s="46"/>
      <c r="H83" s="46"/>
      <c r="I83" s="69"/>
    </row>
    <row r="84" spans="1:9">
      <c r="A84" s="46"/>
      <c r="B84" s="47"/>
      <c r="C84" s="52"/>
      <c r="D84" s="69"/>
      <c r="E84" s="46"/>
      <c r="F84" s="46"/>
      <c r="G84" s="46"/>
      <c r="H84" s="46"/>
      <c r="I84" s="69"/>
    </row>
    <row r="85" spans="1:9">
      <c r="A85" s="46"/>
      <c r="B85" s="47"/>
      <c r="C85" s="52"/>
      <c r="D85" s="69"/>
      <c r="E85" s="46"/>
      <c r="F85" s="46"/>
      <c r="G85" s="46"/>
      <c r="H85" s="46"/>
      <c r="I85" s="69"/>
    </row>
    <row r="86" spans="1:9">
      <c r="A86" s="46"/>
      <c r="B86" s="47"/>
      <c r="C86" s="52"/>
      <c r="D86" s="69"/>
      <c r="E86" s="46"/>
      <c r="F86" s="46"/>
      <c r="G86" s="46"/>
      <c r="H86" s="46"/>
      <c r="I86" s="69"/>
    </row>
    <row r="87" spans="1:9">
      <c r="A87" s="46"/>
      <c r="B87" s="47"/>
      <c r="C87" s="52"/>
      <c r="D87" s="69"/>
      <c r="E87" s="46"/>
      <c r="F87" s="46"/>
      <c r="G87" s="46"/>
      <c r="H87" s="46"/>
      <c r="I87" s="69"/>
    </row>
    <row r="88" spans="1:9">
      <c r="A88" s="46"/>
      <c r="B88" s="47"/>
      <c r="C88" s="52"/>
      <c r="D88" s="69"/>
      <c r="E88" s="46"/>
      <c r="F88" s="46"/>
      <c r="G88" s="46"/>
      <c r="H88" s="46"/>
      <c r="I88" s="69"/>
    </row>
    <row r="89" spans="1:9">
      <c r="A89" s="46"/>
      <c r="B89" s="47"/>
      <c r="C89" s="52"/>
      <c r="D89" s="69"/>
      <c r="E89" s="46"/>
      <c r="F89" s="46"/>
      <c r="G89" s="46"/>
      <c r="H89" s="46"/>
      <c r="I89" s="69"/>
    </row>
    <row r="90" spans="1:9">
      <c r="A90" s="46"/>
      <c r="B90" s="47"/>
      <c r="C90" s="52"/>
      <c r="D90" s="69"/>
      <c r="E90" s="46"/>
      <c r="F90" s="46"/>
      <c r="G90" s="46"/>
      <c r="H90" s="46"/>
      <c r="I90" s="69"/>
    </row>
    <row r="91" spans="1:9">
      <c r="A91" s="46"/>
      <c r="B91" s="47"/>
      <c r="C91" s="52"/>
      <c r="D91" s="69"/>
      <c r="E91" s="46"/>
      <c r="F91" s="46"/>
      <c r="G91" s="46"/>
      <c r="H91" s="46"/>
      <c r="I91" s="69"/>
    </row>
    <row r="92" spans="1:9">
      <c r="A92" s="46"/>
      <c r="B92" s="47"/>
      <c r="C92" s="52"/>
      <c r="D92" s="69"/>
      <c r="E92" s="46"/>
      <c r="F92" s="46"/>
      <c r="G92" s="46"/>
      <c r="H92" s="46"/>
      <c r="I92" s="69"/>
    </row>
    <row r="93" spans="1:9">
      <c r="A93" s="46"/>
      <c r="B93" s="47"/>
      <c r="C93" s="52"/>
      <c r="D93" s="69"/>
      <c r="E93" s="46"/>
      <c r="F93" s="46"/>
      <c r="G93" s="46"/>
      <c r="H93" s="46"/>
      <c r="I93" s="69"/>
    </row>
    <row r="94" spans="1:9">
      <c r="A94" s="46"/>
      <c r="B94" s="47"/>
      <c r="C94" s="52"/>
      <c r="D94" s="69"/>
      <c r="E94" s="46"/>
      <c r="F94" s="46"/>
      <c r="G94" s="46"/>
      <c r="H94" s="46"/>
      <c r="I94" s="69"/>
    </row>
    <row r="95" spans="1:9">
      <c r="A95" s="46"/>
      <c r="B95" s="47"/>
      <c r="C95" s="52"/>
      <c r="D95" s="69"/>
      <c r="E95" s="46"/>
      <c r="F95" s="46"/>
      <c r="G95" s="46"/>
      <c r="H95" s="46"/>
      <c r="I95" s="69"/>
    </row>
    <row r="96" spans="1:9">
      <c r="A96" s="46"/>
      <c r="B96" s="47"/>
      <c r="C96" s="52"/>
      <c r="D96" s="69"/>
      <c r="E96" s="46"/>
      <c r="F96" s="46"/>
      <c r="G96" s="46"/>
      <c r="H96" s="46"/>
      <c r="I96" s="69"/>
    </row>
    <row r="97" spans="1:9">
      <c r="A97" s="46"/>
      <c r="B97" s="47"/>
      <c r="C97" s="52"/>
      <c r="D97" s="69"/>
      <c r="E97" s="46"/>
      <c r="F97" s="46"/>
      <c r="G97" s="46"/>
      <c r="H97" s="46"/>
      <c r="I97" s="69"/>
    </row>
    <row r="98" spans="1:9">
      <c r="A98" s="46"/>
      <c r="B98" s="47"/>
      <c r="C98" s="52"/>
      <c r="D98" s="69"/>
      <c r="E98" s="46"/>
      <c r="F98" s="46"/>
      <c r="G98" s="46"/>
      <c r="H98" s="46"/>
      <c r="I98" s="69"/>
    </row>
    <row r="99" spans="1:9">
      <c r="A99" s="46"/>
      <c r="B99" s="47"/>
      <c r="C99" s="52"/>
      <c r="D99" s="69"/>
      <c r="E99" s="46"/>
      <c r="F99" s="46"/>
      <c r="G99" s="46"/>
      <c r="H99" s="46"/>
      <c r="I99" s="69"/>
    </row>
    <row r="100" spans="1:9">
      <c r="A100" s="46"/>
      <c r="B100" s="47"/>
      <c r="C100" s="52"/>
      <c r="D100" s="69"/>
      <c r="E100" s="46"/>
      <c r="F100" s="46"/>
      <c r="G100" s="46"/>
      <c r="H100" s="46"/>
      <c r="I100" s="69"/>
    </row>
    <row r="101" spans="1:9">
      <c r="A101" s="46"/>
      <c r="B101" s="47"/>
      <c r="C101" s="52"/>
      <c r="D101" s="69"/>
      <c r="E101" s="46"/>
      <c r="F101" s="46"/>
      <c r="G101" s="46"/>
      <c r="H101" s="46"/>
      <c r="I101" s="69"/>
    </row>
    <row r="102" spans="1:9">
      <c r="A102" s="46"/>
      <c r="B102" s="47"/>
      <c r="C102" s="52"/>
      <c r="D102" s="69"/>
      <c r="E102" s="46"/>
      <c r="F102" s="46"/>
      <c r="G102" s="46"/>
      <c r="H102" s="46"/>
      <c r="I102" s="69"/>
    </row>
    <row r="103" spans="1:9">
      <c r="A103" s="46"/>
      <c r="B103" s="47"/>
      <c r="C103" s="52"/>
      <c r="D103" s="69"/>
      <c r="E103" s="46"/>
      <c r="F103" s="46"/>
      <c r="G103" s="46"/>
      <c r="H103" s="46"/>
      <c r="I103" s="69"/>
    </row>
    <row r="104" spans="1:9">
      <c r="A104" s="46"/>
      <c r="B104" s="47"/>
      <c r="C104" s="52"/>
      <c r="D104" s="69"/>
      <c r="E104" s="46"/>
      <c r="F104" s="46"/>
      <c r="G104" s="46"/>
      <c r="H104" s="46"/>
      <c r="I104" s="69"/>
    </row>
    <row r="105" spans="1:9">
      <c r="A105" s="46"/>
      <c r="B105" s="47"/>
      <c r="C105" s="52"/>
      <c r="D105" s="69"/>
      <c r="E105" s="46"/>
      <c r="F105" s="46"/>
      <c r="G105" s="46"/>
      <c r="H105" s="46"/>
      <c r="I105" s="69"/>
    </row>
    <row r="106" spans="1:9">
      <c r="A106" s="46"/>
      <c r="B106" s="47"/>
      <c r="C106" s="52"/>
      <c r="D106" s="69"/>
      <c r="E106" s="46"/>
      <c r="F106" s="46"/>
      <c r="G106" s="46"/>
      <c r="H106" s="46"/>
      <c r="I106" s="69"/>
    </row>
    <row r="107" spans="1:9">
      <c r="A107" s="46"/>
      <c r="B107" s="47"/>
      <c r="C107" s="52"/>
      <c r="D107" s="69"/>
      <c r="E107" s="46"/>
      <c r="F107" s="46"/>
      <c r="G107" s="46"/>
      <c r="H107" s="46"/>
      <c r="I107" s="69"/>
    </row>
    <row r="108" spans="1:9">
      <c r="A108" s="46"/>
      <c r="B108" s="47"/>
      <c r="C108" s="52"/>
      <c r="D108" s="69"/>
      <c r="E108" s="46"/>
      <c r="F108" s="46"/>
      <c r="G108" s="46"/>
      <c r="H108" s="46"/>
      <c r="I108" s="69"/>
    </row>
    <row r="109" spans="1:9">
      <c r="A109" s="46"/>
      <c r="B109" s="47"/>
      <c r="C109" s="52"/>
      <c r="D109" s="69"/>
      <c r="E109" s="46"/>
      <c r="F109" s="46"/>
      <c r="G109" s="46"/>
      <c r="H109" s="46"/>
      <c r="I109" s="69"/>
    </row>
    <row r="110" spans="1:9">
      <c r="A110" s="46"/>
      <c r="B110" s="47"/>
      <c r="C110" s="52"/>
      <c r="D110" s="69"/>
      <c r="E110" s="46"/>
      <c r="F110" s="46"/>
      <c r="G110" s="46"/>
      <c r="H110" s="46"/>
      <c r="I110" s="69"/>
    </row>
    <row r="111" spans="1:9">
      <c r="A111" s="46"/>
      <c r="B111" s="47"/>
      <c r="C111" s="52"/>
      <c r="D111" s="69"/>
      <c r="E111" s="46"/>
      <c r="F111" s="46"/>
      <c r="G111" s="46"/>
      <c r="H111" s="46"/>
      <c r="I111" s="69"/>
    </row>
    <row r="112" spans="1:9">
      <c r="A112" s="46"/>
      <c r="B112" s="47"/>
      <c r="C112" s="52"/>
      <c r="D112" s="69"/>
      <c r="E112" s="46"/>
      <c r="F112" s="46"/>
      <c r="G112" s="46"/>
      <c r="H112" s="46"/>
      <c r="I112" s="69"/>
    </row>
    <row r="113" spans="1:9">
      <c r="A113" s="46"/>
      <c r="B113" s="47"/>
      <c r="C113" s="52"/>
      <c r="D113" s="69"/>
      <c r="E113" s="46"/>
      <c r="F113" s="46"/>
      <c r="G113" s="46"/>
      <c r="H113" s="46"/>
      <c r="I113" s="69"/>
    </row>
    <row r="114" spans="1:9">
      <c r="A114" s="46"/>
      <c r="B114" s="47"/>
      <c r="C114" s="52"/>
      <c r="D114" s="69"/>
      <c r="E114" s="46"/>
      <c r="F114" s="46"/>
      <c r="G114" s="46"/>
      <c r="H114" s="46"/>
      <c r="I114" s="69"/>
    </row>
    <row r="115" spans="1:9">
      <c r="A115" s="46"/>
      <c r="B115" s="47"/>
      <c r="C115" s="52"/>
      <c r="D115" s="69"/>
      <c r="E115" s="46"/>
      <c r="F115" s="46"/>
      <c r="G115" s="46"/>
      <c r="H115" s="46"/>
      <c r="I115" s="69"/>
    </row>
    <row r="116" spans="1:9">
      <c r="A116" s="46"/>
      <c r="B116" s="47"/>
      <c r="C116" s="52"/>
      <c r="D116" s="69"/>
      <c r="E116" s="46"/>
      <c r="F116" s="46"/>
      <c r="G116" s="46"/>
      <c r="H116" s="46"/>
      <c r="I116" s="69"/>
    </row>
    <row r="117" spans="1:9">
      <c r="A117" s="46"/>
      <c r="B117" s="47"/>
      <c r="C117" s="52"/>
      <c r="D117" s="69"/>
      <c r="E117" s="46"/>
      <c r="F117" s="46"/>
      <c r="G117" s="46"/>
      <c r="H117" s="46"/>
      <c r="I117" s="69"/>
    </row>
    <row r="118" spans="1:9">
      <c r="A118" s="46"/>
      <c r="B118" s="47"/>
      <c r="C118" s="52"/>
      <c r="D118" s="69"/>
      <c r="E118" s="46"/>
      <c r="F118" s="46"/>
      <c r="G118" s="46"/>
      <c r="H118" s="46"/>
      <c r="I118" s="69"/>
    </row>
    <row r="119" spans="1:9">
      <c r="A119" s="46"/>
      <c r="B119" s="47"/>
      <c r="C119" s="52"/>
      <c r="D119" s="69"/>
      <c r="E119" s="46"/>
      <c r="F119" s="46"/>
      <c r="G119" s="46"/>
      <c r="H119" s="46"/>
      <c r="I119" s="69"/>
    </row>
    <row r="120" spans="1:9">
      <c r="A120" s="46"/>
      <c r="B120" s="47"/>
      <c r="C120" s="52"/>
      <c r="D120" s="69"/>
      <c r="E120" s="46"/>
      <c r="F120" s="46"/>
      <c r="G120" s="46"/>
      <c r="H120" s="46"/>
      <c r="I120" s="69"/>
    </row>
    <row r="121" spans="1:9">
      <c r="A121" s="46"/>
      <c r="B121" s="47"/>
      <c r="C121" s="52"/>
      <c r="D121" s="69"/>
      <c r="E121" s="46"/>
      <c r="F121" s="46"/>
      <c r="G121" s="46"/>
      <c r="H121" s="46"/>
      <c r="I121" s="69"/>
    </row>
    <row r="122" spans="1:9">
      <c r="A122" s="46"/>
      <c r="B122" s="47"/>
      <c r="C122" s="52"/>
      <c r="D122" s="69"/>
      <c r="E122" s="46"/>
      <c r="F122" s="46"/>
      <c r="G122" s="46"/>
      <c r="H122" s="46"/>
      <c r="I122" s="69"/>
    </row>
    <row r="123" spans="1:9">
      <c r="A123" s="46"/>
      <c r="B123" s="47"/>
      <c r="C123" s="52"/>
      <c r="D123" s="69"/>
      <c r="E123" s="46"/>
      <c r="F123" s="46"/>
      <c r="G123" s="46"/>
      <c r="H123" s="46"/>
      <c r="I123" s="69"/>
    </row>
    <row r="124" spans="1:9">
      <c r="A124" s="46"/>
      <c r="B124" s="47"/>
      <c r="C124" s="52"/>
      <c r="D124" s="69"/>
      <c r="E124" s="46"/>
      <c r="F124" s="46"/>
      <c r="G124" s="46"/>
      <c r="H124" s="46"/>
      <c r="I124" s="69"/>
    </row>
  </sheetData>
  <mergeCells count="13">
    <mergeCell ref="A7:A8"/>
    <mergeCell ref="B7:B8"/>
    <mergeCell ref="C7:C8"/>
    <mergeCell ref="D7:H7"/>
    <mergeCell ref="I7:I8"/>
    <mergeCell ref="K7:R7"/>
    <mergeCell ref="K8:R8"/>
    <mergeCell ref="B1:I1"/>
    <mergeCell ref="B2:I2"/>
    <mergeCell ref="B3:I3"/>
    <mergeCell ref="B4:I4"/>
    <mergeCell ref="B5:I5"/>
    <mergeCell ref="B6:I6"/>
  </mergeCells>
  <pageMargins left="0.45" right="0.45" top="0.75" bottom="0.5" header="0.3" footer="0.3"/>
  <pageSetup scale="85" orientation="portrait" r:id="rId1"/>
  <headerFooter>
    <oddFooter>&amp;CPage no  &amp;P  MB-  1004</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39"/>
  <sheetViews>
    <sheetView view="pageBreakPreview" zoomScaleSheetLayoutView="100" zoomScalePageLayoutView="60" workbookViewId="0">
      <selection activeCell="G62" sqref="G62"/>
    </sheetView>
  </sheetViews>
  <sheetFormatPr defaultColWidth="8.85546875" defaultRowHeight="15"/>
  <cols>
    <col min="1" max="1" width="10.7109375" style="27" customWidth="1"/>
    <col min="2" max="2" width="5.28515625" style="27" customWidth="1"/>
    <col min="3" max="3" width="40.7109375" style="136" customWidth="1"/>
    <col min="4" max="4" width="5.85546875" style="35" customWidth="1"/>
    <col min="5" max="5" width="5.7109375" style="127" customWidth="1"/>
    <col min="6" max="6" width="9.7109375" style="127" customWidth="1"/>
    <col min="7" max="7" width="7.85546875" style="27" customWidth="1"/>
    <col min="8" max="8" width="10.5703125" style="27" bestFit="1" customWidth="1"/>
    <col min="9" max="9" width="10.140625" style="27" customWidth="1"/>
    <col min="10" max="10" width="7.28515625" style="27" bestFit="1" customWidth="1"/>
    <col min="11" max="11" width="11.85546875" style="27" bestFit="1" customWidth="1"/>
    <col min="12" max="12" width="10.5703125" style="27" customWidth="1"/>
    <col min="13" max="13" width="7.5703125" style="27" bestFit="1" customWidth="1"/>
    <col min="14" max="14" width="9.28515625" style="27" bestFit="1" customWidth="1"/>
    <col min="15" max="15" width="10.5703125" style="27" bestFit="1" customWidth="1"/>
    <col min="16" max="16" width="6" style="27" customWidth="1"/>
    <col min="17" max="16384" width="8.85546875" style="27"/>
  </cols>
  <sheetData>
    <row r="1" spans="1:16" ht="22.15" customHeight="1">
      <c r="A1" s="327" t="s">
        <v>10</v>
      </c>
      <c r="B1" s="328"/>
      <c r="C1" s="331" t="s">
        <v>85</v>
      </c>
      <c r="D1" s="332"/>
      <c r="E1" s="332"/>
      <c r="F1" s="332"/>
      <c r="G1" s="332"/>
      <c r="H1" s="332"/>
      <c r="I1" s="332"/>
      <c r="J1" s="332"/>
      <c r="K1" s="332"/>
      <c r="L1" s="332"/>
      <c r="M1" s="332"/>
      <c r="N1" s="332"/>
      <c r="O1" s="332"/>
      <c r="P1" s="333"/>
    </row>
    <row r="2" spans="1:16" ht="17.45" customHeight="1">
      <c r="A2" s="327" t="s">
        <v>94</v>
      </c>
      <c r="B2" s="328"/>
      <c r="C2" s="314" t="s">
        <v>88</v>
      </c>
      <c r="D2" s="315"/>
      <c r="E2" s="315"/>
      <c r="F2" s="315"/>
      <c r="G2" s="315"/>
      <c r="H2" s="315"/>
      <c r="I2" s="315"/>
      <c r="J2" s="315"/>
      <c r="K2" s="315"/>
      <c r="L2" s="315"/>
      <c r="M2" s="315"/>
      <c r="N2" s="315"/>
      <c r="O2" s="315"/>
      <c r="P2" s="316"/>
    </row>
    <row r="3" spans="1:16" ht="30" customHeight="1">
      <c r="A3" s="327" t="s">
        <v>11</v>
      </c>
      <c r="B3" s="328"/>
      <c r="C3" s="317" t="s">
        <v>89</v>
      </c>
      <c r="D3" s="318"/>
      <c r="E3" s="318"/>
      <c r="F3" s="318"/>
      <c r="G3" s="318"/>
      <c r="H3" s="318"/>
      <c r="I3" s="318"/>
      <c r="J3" s="318"/>
      <c r="K3" s="318"/>
      <c r="L3" s="318"/>
      <c r="M3" s="318"/>
      <c r="N3" s="318"/>
      <c r="O3" s="318"/>
      <c r="P3" s="319"/>
    </row>
    <row r="4" spans="1:16" ht="15" customHeight="1">
      <c r="A4" s="327" t="s">
        <v>12</v>
      </c>
      <c r="B4" s="328"/>
      <c r="C4" s="314" t="s">
        <v>90</v>
      </c>
      <c r="D4" s="315"/>
      <c r="E4" s="315"/>
      <c r="F4" s="315"/>
      <c r="G4" s="315"/>
      <c r="H4" s="315"/>
      <c r="I4" s="315"/>
      <c r="J4" s="315"/>
      <c r="K4" s="315"/>
      <c r="L4" s="315"/>
      <c r="M4" s="315"/>
      <c r="N4" s="315"/>
      <c r="O4" s="315"/>
      <c r="P4" s="316"/>
    </row>
    <row r="5" spans="1:16" ht="16.899999999999999" customHeight="1">
      <c r="A5" s="327" t="s">
        <v>101</v>
      </c>
      <c r="B5" s="328"/>
      <c r="C5" s="314" t="s">
        <v>91</v>
      </c>
      <c r="D5" s="315"/>
      <c r="E5" s="315"/>
      <c r="F5" s="315"/>
      <c r="G5" s="315"/>
      <c r="H5" s="315"/>
      <c r="I5" s="315"/>
      <c r="J5" s="315"/>
      <c r="K5" s="315"/>
      <c r="L5" s="315"/>
      <c r="M5" s="315"/>
      <c r="N5" s="315"/>
      <c r="O5" s="315"/>
      <c r="P5" s="316"/>
    </row>
    <row r="6" spans="1:16" ht="16.149999999999999" customHeight="1">
      <c r="A6" s="317" t="s">
        <v>14</v>
      </c>
      <c r="B6" s="319"/>
      <c r="C6" s="320" t="s">
        <v>219</v>
      </c>
      <c r="D6" s="321"/>
      <c r="E6" s="321"/>
      <c r="F6" s="321"/>
      <c r="G6" s="321"/>
      <c r="H6" s="321"/>
      <c r="I6" s="321"/>
      <c r="J6" s="321"/>
      <c r="K6" s="321"/>
      <c r="L6" s="321"/>
      <c r="M6" s="321"/>
      <c r="N6" s="321"/>
      <c r="O6" s="321"/>
      <c r="P6" s="322"/>
    </row>
    <row r="7" spans="1:16" ht="24" customHeight="1">
      <c r="A7" s="323" t="s">
        <v>3</v>
      </c>
      <c r="B7" s="323" t="s">
        <v>15</v>
      </c>
      <c r="C7" s="330" t="s">
        <v>4</v>
      </c>
      <c r="D7" s="329" t="s">
        <v>5</v>
      </c>
      <c r="E7" s="329" t="s">
        <v>6</v>
      </c>
      <c r="F7" s="329" t="s">
        <v>7</v>
      </c>
      <c r="G7" s="324" t="s">
        <v>8</v>
      </c>
      <c r="H7" s="325"/>
      <c r="I7" s="325"/>
      <c r="J7" s="325"/>
      <c r="K7" s="325"/>
      <c r="L7" s="325"/>
      <c r="M7" s="325"/>
      <c r="N7" s="325"/>
      <c r="O7" s="326"/>
      <c r="P7" s="329" t="s">
        <v>9</v>
      </c>
    </row>
    <row r="8" spans="1:16" ht="28.5" customHeight="1">
      <c r="A8" s="323"/>
      <c r="B8" s="323"/>
      <c r="C8" s="330"/>
      <c r="D8" s="329"/>
      <c r="E8" s="329"/>
      <c r="F8" s="329"/>
      <c r="G8" s="100">
        <v>8</v>
      </c>
      <c r="H8" s="100">
        <v>10</v>
      </c>
      <c r="I8" s="100">
        <v>12</v>
      </c>
      <c r="J8" s="100">
        <v>16</v>
      </c>
      <c r="K8" s="100">
        <v>20</v>
      </c>
      <c r="L8" s="100">
        <v>25</v>
      </c>
      <c r="M8" s="100">
        <v>28</v>
      </c>
      <c r="N8" s="100">
        <v>32</v>
      </c>
      <c r="O8" s="100">
        <v>36</v>
      </c>
      <c r="P8" s="329"/>
    </row>
    <row r="9" spans="1:16" ht="20.100000000000001" customHeight="1">
      <c r="A9" s="251" t="s">
        <v>155</v>
      </c>
      <c r="B9" s="252">
        <v>8</v>
      </c>
      <c r="C9" s="253" t="s">
        <v>156</v>
      </c>
      <c r="D9" s="254"/>
      <c r="E9" s="255"/>
      <c r="F9" s="256"/>
      <c r="G9" s="257"/>
      <c r="H9" s="257"/>
      <c r="I9" s="257"/>
      <c r="J9" s="257"/>
      <c r="K9" s="257"/>
      <c r="L9" s="257"/>
      <c r="M9" s="257"/>
      <c r="N9" s="257"/>
      <c r="O9" s="257"/>
      <c r="P9" s="104"/>
    </row>
    <row r="10" spans="1:16" ht="20.100000000000001" customHeight="1">
      <c r="A10" s="251"/>
      <c r="B10" s="252"/>
      <c r="C10" s="253" t="s">
        <v>157</v>
      </c>
      <c r="D10" s="254"/>
      <c r="E10" s="255"/>
      <c r="F10" s="256"/>
      <c r="G10" s="257"/>
      <c r="H10" s="257"/>
      <c r="I10" s="257"/>
      <c r="J10" s="257"/>
      <c r="K10" s="257"/>
      <c r="L10" s="257"/>
      <c r="M10" s="257"/>
      <c r="N10" s="257"/>
      <c r="O10" s="257"/>
      <c r="P10" s="104"/>
    </row>
    <row r="11" spans="1:16" ht="20.100000000000001" customHeight="1">
      <c r="A11" s="258"/>
      <c r="B11" s="255"/>
      <c r="C11" s="81" t="s">
        <v>158</v>
      </c>
      <c r="D11" s="83">
        <v>20</v>
      </c>
      <c r="E11" s="81">
        <f>54+53</f>
        <v>107</v>
      </c>
      <c r="F11" s="143">
        <f>(16.3-0.15-0.08-0.04)+((1.5-0.15)*2)</f>
        <v>18.730000000000004</v>
      </c>
      <c r="G11" s="257" t="str">
        <f>IF(D11 = 8,E11*F11," -")</f>
        <v xml:space="preserve"> -</v>
      </c>
      <c r="H11" s="257" t="str">
        <f t="shared" ref="H11:H25" si="0">IF(D11 = 10,E11*F11," -")</f>
        <v xml:space="preserve"> -</v>
      </c>
      <c r="I11" s="257" t="str">
        <f t="shared" ref="I11:I25" si="1">IF(D11=12,E11*F11,"-")</f>
        <v>-</v>
      </c>
      <c r="J11" s="257" t="str">
        <f t="shared" ref="J11:J25" si="2">IF(D11=16,E11*F11,"-")</f>
        <v>-</v>
      </c>
      <c r="K11" s="257">
        <f t="shared" ref="K11:K25" si="3">IF(D11=20,E11*F11,"-")</f>
        <v>2004.1100000000004</v>
      </c>
      <c r="L11" s="257" t="str">
        <f t="shared" ref="L11:L25" si="4">IF(D11=25,E11*F11,"-")</f>
        <v>-</v>
      </c>
      <c r="M11" s="257" t="str">
        <f t="shared" ref="M11:M25" si="5">IF(D11=28,E11*F11,"-")</f>
        <v>-</v>
      </c>
      <c r="N11" s="257" t="str">
        <f t="shared" ref="N11:N25" si="6">IF(D11=32,E11*F11,"-")</f>
        <v>-</v>
      </c>
      <c r="O11" s="257" t="str">
        <f>IF(D11=36,E11*F11,"-")</f>
        <v>-</v>
      </c>
      <c r="P11" s="104"/>
    </row>
    <row r="12" spans="1:16" ht="20.100000000000001" customHeight="1">
      <c r="A12" s="258"/>
      <c r="B12" s="255"/>
      <c r="C12" s="81" t="s">
        <v>159</v>
      </c>
      <c r="D12" s="83">
        <v>20</v>
      </c>
      <c r="E12" s="81">
        <f>54+53</f>
        <v>107</v>
      </c>
      <c r="F12" s="143">
        <v>0.94</v>
      </c>
      <c r="G12" s="257" t="str">
        <f t="shared" ref="G12:G25" si="7">IF(D12 = 8,E12*F12," -")</f>
        <v xml:space="preserve"> -</v>
      </c>
      <c r="H12" s="257" t="str">
        <f t="shared" si="0"/>
        <v xml:space="preserve"> -</v>
      </c>
      <c r="I12" s="257" t="str">
        <f t="shared" si="1"/>
        <v>-</v>
      </c>
      <c r="J12" s="257" t="str">
        <f t="shared" si="2"/>
        <v>-</v>
      </c>
      <c r="K12" s="257">
        <f t="shared" si="3"/>
        <v>100.58</v>
      </c>
      <c r="L12" s="257" t="str">
        <f t="shared" si="4"/>
        <v>-</v>
      </c>
      <c r="M12" s="257" t="str">
        <f t="shared" si="5"/>
        <v>-</v>
      </c>
      <c r="N12" s="257" t="str">
        <f t="shared" si="6"/>
        <v>-</v>
      </c>
      <c r="O12" s="257" t="str">
        <f>IF(D12=36,E12*F12,"-")</f>
        <v>-</v>
      </c>
      <c r="P12" s="104"/>
    </row>
    <row r="13" spans="1:16" ht="20.100000000000001" customHeight="1">
      <c r="A13" s="258"/>
      <c r="B13" s="255"/>
      <c r="C13" s="81" t="s">
        <v>160</v>
      </c>
      <c r="D13" s="83">
        <v>20</v>
      </c>
      <c r="E13" s="81">
        <v>109</v>
      </c>
      <c r="F13" s="143">
        <f>(16.075-0.15-0.08-0.04)+((1.5-0.15-0.04)*2)</f>
        <v>18.425000000000001</v>
      </c>
      <c r="G13" s="257" t="str">
        <f t="shared" si="7"/>
        <v xml:space="preserve"> -</v>
      </c>
      <c r="H13" s="257" t="str">
        <f t="shared" si="0"/>
        <v xml:space="preserve"> -</v>
      </c>
      <c r="I13" s="257" t="str">
        <f t="shared" si="1"/>
        <v>-</v>
      </c>
      <c r="J13" s="257" t="str">
        <f t="shared" si="2"/>
        <v>-</v>
      </c>
      <c r="K13" s="257">
        <f t="shared" si="3"/>
        <v>2008.325</v>
      </c>
      <c r="L13" s="257" t="str">
        <f t="shared" si="4"/>
        <v>-</v>
      </c>
      <c r="M13" s="257" t="str">
        <f t="shared" si="5"/>
        <v>-</v>
      </c>
      <c r="N13" s="257" t="str">
        <f t="shared" si="6"/>
        <v>-</v>
      </c>
      <c r="O13" s="257" t="str">
        <f t="shared" ref="O13:O25" si="8">IF(D13=36,E13*F13,"-")</f>
        <v>-</v>
      </c>
      <c r="P13" s="104"/>
    </row>
    <row r="14" spans="1:16" ht="20.100000000000001" customHeight="1">
      <c r="A14" s="258"/>
      <c r="B14" s="255"/>
      <c r="C14" s="81" t="s">
        <v>161</v>
      </c>
      <c r="D14" s="83">
        <v>20</v>
      </c>
      <c r="E14" s="81">
        <v>109</v>
      </c>
      <c r="F14" s="143">
        <v>0.94</v>
      </c>
      <c r="G14" s="257" t="str">
        <f t="shared" si="7"/>
        <v xml:space="preserve"> -</v>
      </c>
      <c r="H14" s="257" t="str">
        <f t="shared" si="0"/>
        <v xml:space="preserve"> -</v>
      </c>
      <c r="I14" s="257" t="str">
        <f t="shared" si="1"/>
        <v>-</v>
      </c>
      <c r="J14" s="257" t="str">
        <f t="shared" si="2"/>
        <v>-</v>
      </c>
      <c r="K14" s="257">
        <f t="shared" si="3"/>
        <v>102.46</v>
      </c>
      <c r="L14" s="257" t="str">
        <f t="shared" si="4"/>
        <v>-</v>
      </c>
      <c r="M14" s="257" t="str">
        <f t="shared" si="5"/>
        <v>-</v>
      </c>
      <c r="N14" s="257" t="str">
        <f t="shared" si="6"/>
        <v>-</v>
      </c>
      <c r="O14" s="257" t="str">
        <f t="shared" si="8"/>
        <v>-</v>
      </c>
      <c r="P14" s="104"/>
    </row>
    <row r="15" spans="1:16" ht="20.100000000000001" customHeight="1">
      <c r="A15" s="258"/>
      <c r="B15" s="255"/>
      <c r="C15" s="81" t="s">
        <v>162</v>
      </c>
      <c r="D15" s="83">
        <v>20</v>
      </c>
      <c r="E15" s="81">
        <v>109</v>
      </c>
      <c r="F15" s="143">
        <f>(16.075-0.15-0.08-0.04)+((1.5-0.15-0.04)*2)</f>
        <v>18.425000000000001</v>
      </c>
      <c r="G15" s="257" t="str">
        <f t="shared" si="7"/>
        <v xml:space="preserve"> -</v>
      </c>
      <c r="H15" s="257" t="str">
        <f t="shared" si="0"/>
        <v xml:space="preserve"> -</v>
      </c>
      <c r="I15" s="257" t="str">
        <f t="shared" si="1"/>
        <v>-</v>
      </c>
      <c r="J15" s="257" t="str">
        <f t="shared" si="2"/>
        <v>-</v>
      </c>
      <c r="K15" s="257">
        <f t="shared" si="3"/>
        <v>2008.325</v>
      </c>
      <c r="L15" s="257" t="str">
        <f t="shared" si="4"/>
        <v>-</v>
      </c>
      <c r="M15" s="257" t="str">
        <f t="shared" si="5"/>
        <v>-</v>
      </c>
      <c r="N15" s="257" t="str">
        <f t="shared" si="6"/>
        <v>-</v>
      </c>
      <c r="O15" s="257" t="str">
        <f t="shared" si="8"/>
        <v>-</v>
      </c>
      <c r="P15" s="104"/>
    </row>
    <row r="16" spans="1:16" ht="20.100000000000001" customHeight="1">
      <c r="A16" s="258"/>
      <c r="B16" s="255"/>
      <c r="C16" s="81" t="s">
        <v>163</v>
      </c>
      <c r="D16" s="83">
        <v>20</v>
      </c>
      <c r="E16" s="81">
        <v>109</v>
      </c>
      <c r="F16" s="143">
        <v>0.94</v>
      </c>
      <c r="G16" s="257" t="str">
        <f t="shared" si="7"/>
        <v xml:space="preserve"> -</v>
      </c>
      <c r="H16" s="257" t="str">
        <f t="shared" si="0"/>
        <v xml:space="preserve"> -</v>
      </c>
      <c r="I16" s="257" t="str">
        <f t="shared" si="1"/>
        <v>-</v>
      </c>
      <c r="J16" s="257" t="str">
        <f t="shared" si="2"/>
        <v>-</v>
      </c>
      <c r="K16" s="257">
        <f t="shared" si="3"/>
        <v>102.46</v>
      </c>
      <c r="L16" s="257" t="str">
        <f t="shared" si="4"/>
        <v>-</v>
      </c>
      <c r="M16" s="257" t="str">
        <f t="shared" si="5"/>
        <v>-</v>
      </c>
      <c r="N16" s="257" t="str">
        <f t="shared" si="6"/>
        <v>-</v>
      </c>
      <c r="O16" s="257" t="str">
        <f t="shared" si="8"/>
        <v>-</v>
      </c>
      <c r="P16" s="104"/>
    </row>
    <row r="17" spans="1:16">
      <c r="A17" s="258"/>
      <c r="B17" s="255"/>
      <c r="C17" s="81" t="s">
        <v>164</v>
      </c>
      <c r="D17" s="83">
        <v>20</v>
      </c>
      <c r="E17" s="81">
        <f>54+53</f>
        <v>107</v>
      </c>
      <c r="F17" s="143">
        <f>(16.3-0.15-0.08-0.04)+((1.5-0.15)*2)</f>
        <v>18.730000000000004</v>
      </c>
      <c r="G17" s="257" t="str">
        <f t="shared" si="7"/>
        <v xml:space="preserve"> -</v>
      </c>
      <c r="H17" s="257" t="str">
        <f t="shared" si="0"/>
        <v xml:space="preserve"> -</v>
      </c>
      <c r="I17" s="257" t="str">
        <f t="shared" si="1"/>
        <v>-</v>
      </c>
      <c r="J17" s="257" t="str">
        <f t="shared" si="2"/>
        <v>-</v>
      </c>
      <c r="K17" s="257">
        <f t="shared" si="3"/>
        <v>2004.1100000000004</v>
      </c>
      <c r="L17" s="257" t="str">
        <f t="shared" si="4"/>
        <v>-</v>
      </c>
      <c r="M17" s="257" t="str">
        <f t="shared" si="5"/>
        <v>-</v>
      </c>
      <c r="N17" s="257" t="str">
        <f t="shared" si="6"/>
        <v>-</v>
      </c>
      <c r="O17" s="257" t="str">
        <f>IF(D17=36,E17*F17,"-")</f>
        <v>-</v>
      </c>
      <c r="P17" s="104"/>
    </row>
    <row r="18" spans="1:16" ht="20.100000000000001" customHeight="1">
      <c r="A18" s="258"/>
      <c r="B18" s="255"/>
      <c r="C18" s="81" t="s">
        <v>165</v>
      </c>
      <c r="D18" s="83">
        <v>20</v>
      </c>
      <c r="E18" s="81">
        <f>54+53</f>
        <v>107</v>
      </c>
      <c r="F18" s="143">
        <v>0.94</v>
      </c>
      <c r="G18" s="257" t="str">
        <f t="shared" si="7"/>
        <v xml:space="preserve"> -</v>
      </c>
      <c r="H18" s="257" t="str">
        <f t="shared" si="0"/>
        <v xml:space="preserve"> -</v>
      </c>
      <c r="I18" s="257" t="str">
        <f t="shared" si="1"/>
        <v>-</v>
      </c>
      <c r="J18" s="257" t="str">
        <f t="shared" si="2"/>
        <v>-</v>
      </c>
      <c r="K18" s="257">
        <f t="shared" si="3"/>
        <v>100.58</v>
      </c>
      <c r="L18" s="257" t="str">
        <f t="shared" si="4"/>
        <v>-</v>
      </c>
      <c r="M18" s="257" t="str">
        <f t="shared" si="5"/>
        <v>-</v>
      </c>
      <c r="N18" s="257" t="str">
        <f t="shared" si="6"/>
        <v>-</v>
      </c>
      <c r="O18" s="257" t="str">
        <f>IF(D18=36,E18*F18,"-")</f>
        <v>-</v>
      </c>
      <c r="P18" s="104"/>
    </row>
    <row r="19" spans="1:16" ht="29.45" customHeight="1">
      <c r="A19" s="258"/>
      <c r="B19" s="255"/>
      <c r="C19" s="81" t="s">
        <v>166</v>
      </c>
      <c r="D19" s="147">
        <v>20</v>
      </c>
      <c r="E19" s="148">
        <v>6</v>
      </c>
      <c r="F19" s="82">
        <f>+(((16.3-0.15)*2)-0.16)+((16.075-0.15)*2)</f>
        <v>63.990000000000009</v>
      </c>
      <c r="G19" s="257" t="str">
        <f t="shared" si="7"/>
        <v xml:space="preserve"> -</v>
      </c>
      <c r="H19" s="257" t="str">
        <f t="shared" si="0"/>
        <v xml:space="preserve"> -</v>
      </c>
      <c r="I19" s="257" t="str">
        <f t="shared" si="1"/>
        <v>-</v>
      </c>
      <c r="J19" s="257" t="str">
        <f t="shared" si="2"/>
        <v>-</v>
      </c>
      <c r="K19" s="257">
        <f t="shared" si="3"/>
        <v>383.94000000000005</v>
      </c>
      <c r="L19" s="257" t="str">
        <f t="shared" si="4"/>
        <v>-</v>
      </c>
      <c r="M19" s="257" t="str">
        <f t="shared" si="5"/>
        <v>-</v>
      </c>
      <c r="N19" s="257" t="str">
        <f t="shared" si="6"/>
        <v>-</v>
      </c>
      <c r="O19" s="257" t="str">
        <f t="shared" si="8"/>
        <v>-</v>
      </c>
      <c r="P19" s="104"/>
    </row>
    <row r="20" spans="1:16" ht="20.100000000000001" customHeight="1">
      <c r="A20" s="258"/>
      <c r="B20" s="255"/>
      <c r="C20" s="150" t="s">
        <v>167</v>
      </c>
      <c r="D20" s="83">
        <v>20</v>
      </c>
      <c r="E20" s="81">
        <v>36</v>
      </c>
      <c r="F20" s="82">
        <v>0.94</v>
      </c>
      <c r="G20" s="257" t="str">
        <f t="shared" si="7"/>
        <v xml:space="preserve"> -</v>
      </c>
      <c r="H20" s="257" t="str">
        <f t="shared" si="0"/>
        <v xml:space="preserve"> -</v>
      </c>
      <c r="I20" s="257" t="str">
        <f t="shared" si="1"/>
        <v>-</v>
      </c>
      <c r="J20" s="257" t="str">
        <f t="shared" si="2"/>
        <v>-</v>
      </c>
      <c r="K20" s="257">
        <f t="shared" si="3"/>
        <v>33.839999999999996</v>
      </c>
      <c r="L20" s="257" t="str">
        <f t="shared" si="4"/>
        <v>-</v>
      </c>
      <c r="M20" s="257" t="str">
        <f t="shared" si="5"/>
        <v>-</v>
      </c>
      <c r="N20" s="257" t="str">
        <f t="shared" si="6"/>
        <v>-</v>
      </c>
      <c r="O20" s="257" t="str">
        <f t="shared" si="8"/>
        <v>-</v>
      </c>
      <c r="P20" s="104"/>
    </row>
    <row r="21" spans="1:16" ht="29.45" customHeight="1">
      <c r="A21" s="258"/>
      <c r="B21" s="255"/>
      <c r="C21" s="151" t="s">
        <v>168</v>
      </c>
      <c r="D21" s="83"/>
      <c r="E21" s="81"/>
      <c r="F21" s="82"/>
      <c r="G21" s="257"/>
      <c r="H21" s="257"/>
      <c r="I21" s="257"/>
      <c r="J21" s="257"/>
      <c r="K21" s="257"/>
      <c r="L21" s="257"/>
      <c r="M21" s="257"/>
      <c r="N21" s="257"/>
      <c r="O21" s="257"/>
      <c r="P21" s="104"/>
    </row>
    <row r="22" spans="1:16" ht="20.100000000000001" customHeight="1">
      <c r="A22" s="258"/>
      <c r="B22" s="255"/>
      <c r="C22" s="152" t="s">
        <v>169</v>
      </c>
      <c r="D22" s="83">
        <v>36</v>
      </c>
      <c r="E22" s="144">
        <f>12*4</f>
        <v>48</v>
      </c>
      <c r="F22" s="153">
        <f>1.5-0.075-0.04-0.036-0.036+0.374</f>
        <v>1.6869999999999998</v>
      </c>
      <c r="G22" s="257" t="str">
        <f t="shared" si="7"/>
        <v xml:space="preserve"> -</v>
      </c>
      <c r="H22" s="257" t="str">
        <f t="shared" si="0"/>
        <v xml:space="preserve"> -</v>
      </c>
      <c r="I22" s="257" t="str">
        <f t="shared" si="1"/>
        <v>-</v>
      </c>
      <c r="J22" s="257" t="str">
        <f t="shared" si="2"/>
        <v>-</v>
      </c>
      <c r="K22" s="257" t="str">
        <f t="shared" si="3"/>
        <v>-</v>
      </c>
      <c r="L22" s="257" t="str">
        <f t="shared" si="4"/>
        <v>-</v>
      </c>
      <c r="M22" s="257" t="str">
        <f t="shared" si="5"/>
        <v>-</v>
      </c>
      <c r="N22" s="257" t="str">
        <f t="shared" si="6"/>
        <v>-</v>
      </c>
      <c r="O22" s="257">
        <f t="shared" si="8"/>
        <v>80.975999999999999</v>
      </c>
      <c r="P22" s="104"/>
    </row>
    <row r="23" spans="1:16" ht="25.9" customHeight="1">
      <c r="A23" s="258"/>
      <c r="B23" s="255"/>
      <c r="C23" s="152" t="s">
        <v>170</v>
      </c>
      <c r="D23" s="83">
        <v>10</v>
      </c>
      <c r="E23" s="81">
        <f>4*11</f>
        <v>44</v>
      </c>
      <c r="F23" s="82">
        <f>+((1-0.1-0.04)*2+((0.75-0.1)*2)+(0.1*2))</f>
        <v>3.22</v>
      </c>
      <c r="G23" s="257" t="str">
        <f t="shared" si="7"/>
        <v xml:space="preserve"> -</v>
      </c>
      <c r="H23" s="257">
        <f t="shared" si="0"/>
        <v>141.68</v>
      </c>
      <c r="I23" s="257" t="str">
        <f t="shared" si="1"/>
        <v>-</v>
      </c>
      <c r="J23" s="257" t="str">
        <f t="shared" si="2"/>
        <v>-</v>
      </c>
      <c r="K23" s="257" t="str">
        <f t="shared" si="3"/>
        <v>-</v>
      </c>
      <c r="L23" s="257" t="str">
        <f t="shared" si="4"/>
        <v>-</v>
      </c>
      <c r="M23" s="257" t="str">
        <f t="shared" si="5"/>
        <v>-</v>
      </c>
      <c r="N23" s="257" t="str">
        <f t="shared" si="6"/>
        <v>-</v>
      </c>
      <c r="O23" s="257" t="str">
        <f t="shared" si="8"/>
        <v>-</v>
      </c>
      <c r="P23" s="104"/>
    </row>
    <row r="24" spans="1:16" ht="20.100000000000001" customHeight="1">
      <c r="A24" s="258"/>
      <c r="B24" s="255"/>
      <c r="C24" s="152" t="s">
        <v>171</v>
      </c>
      <c r="D24" s="83">
        <v>10</v>
      </c>
      <c r="E24" s="81">
        <f>4*10</f>
        <v>40</v>
      </c>
      <c r="F24" s="82">
        <f>+((1-0.1-0.04)*2+(0.272*2)+0.2)</f>
        <v>2.4640000000000004</v>
      </c>
      <c r="G24" s="257" t="str">
        <f t="shared" si="7"/>
        <v xml:space="preserve"> -</v>
      </c>
      <c r="H24" s="257">
        <f t="shared" si="0"/>
        <v>98.560000000000016</v>
      </c>
      <c r="I24" s="257" t="str">
        <f t="shared" si="1"/>
        <v>-</v>
      </c>
      <c r="J24" s="257" t="str">
        <f t="shared" si="2"/>
        <v>-</v>
      </c>
      <c r="K24" s="257" t="str">
        <f t="shared" si="3"/>
        <v>-</v>
      </c>
      <c r="L24" s="257" t="str">
        <f t="shared" si="4"/>
        <v>-</v>
      </c>
      <c r="M24" s="257" t="str">
        <f t="shared" si="5"/>
        <v>-</v>
      </c>
      <c r="N24" s="257" t="str">
        <f t="shared" si="6"/>
        <v>-</v>
      </c>
      <c r="O24" s="257" t="str">
        <f t="shared" si="8"/>
        <v>-</v>
      </c>
      <c r="P24" s="104"/>
    </row>
    <row r="25" spans="1:16" ht="25.9" customHeight="1">
      <c r="A25" s="258"/>
      <c r="B25" s="255"/>
      <c r="C25" s="152" t="s">
        <v>171</v>
      </c>
      <c r="D25" s="83">
        <v>10</v>
      </c>
      <c r="E25" s="81">
        <f>4*10</f>
        <v>40</v>
      </c>
      <c r="F25" s="82">
        <f>+((0.75-0.1-0.04)*2+(0.356*2)+0.2)</f>
        <v>2.1320000000000001</v>
      </c>
      <c r="G25" s="257" t="str">
        <f t="shared" si="7"/>
        <v xml:space="preserve"> -</v>
      </c>
      <c r="H25" s="257">
        <f t="shared" si="0"/>
        <v>85.28</v>
      </c>
      <c r="I25" s="257" t="str">
        <f t="shared" si="1"/>
        <v>-</v>
      </c>
      <c r="J25" s="257" t="str">
        <f t="shared" si="2"/>
        <v>-</v>
      </c>
      <c r="K25" s="257" t="str">
        <f t="shared" si="3"/>
        <v>-</v>
      </c>
      <c r="L25" s="257" t="str">
        <f t="shared" si="4"/>
        <v>-</v>
      </c>
      <c r="M25" s="257" t="str">
        <f t="shared" si="5"/>
        <v>-</v>
      </c>
      <c r="N25" s="257" t="str">
        <f t="shared" si="6"/>
        <v>-</v>
      </c>
      <c r="O25" s="257" t="str">
        <f t="shared" si="8"/>
        <v>-</v>
      </c>
      <c r="P25" s="104"/>
    </row>
    <row r="26" spans="1:16" ht="20.100000000000001" customHeight="1">
      <c r="A26" s="258"/>
      <c r="B26" s="255"/>
      <c r="C26" s="151" t="s">
        <v>172</v>
      </c>
      <c r="D26" s="83"/>
      <c r="E26" s="81"/>
      <c r="F26" s="82"/>
      <c r="G26" s="257"/>
      <c r="H26" s="257"/>
      <c r="I26" s="257"/>
      <c r="J26" s="257"/>
      <c r="K26" s="257"/>
      <c r="L26" s="257"/>
      <c r="M26" s="257"/>
      <c r="N26" s="257"/>
      <c r="O26" s="257"/>
      <c r="P26" s="104"/>
    </row>
    <row r="27" spans="1:16" ht="20.100000000000001" customHeight="1">
      <c r="A27" s="258"/>
      <c r="B27" s="255"/>
      <c r="C27" s="152" t="s">
        <v>169</v>
      </c>
      <c r="D27" s="83">
        <v>36</v>
      </c>
      <c r="E27" s="144">
        <f>28*2</f>
        <v>56</v>
      </c>
      <c r="F27" s="153">
        <f>1.5-0.075-0.04-0.036-0.036+0.374</f>
        <v>1.6869999999999998</v>
      </c>
      <c r="G27" s="257" t="str">
        <f t="shared" ref="G27:G32" si="9">IF(D27 = 8,E27*F27," -")</f>
        <v xml:space="preserve"> -</v>
      </c>
      <c r="H27" s="257" t="str">
        <f t="shared" ref="H27:H32" si="10">IF(D27 = 10,E27*F27," -")</f>
        <v xml:space="preserve"> -</v>
      </c>
      <c r="I27" s="257" t="str">
        <f t="shared" ref="I27:I32" si="11">IF(D27=12,E27*F27,"-")</f>
        <v>-</v>
      </c>
      <c r="J27" s="257" t="str">
        <f t="shared" ref="J27:J32" si="12">IF(D27=16,E27*F27,"-")</f>
        <v>-</v>
      </c>
      <c r="K27" s="257" t="str">
        <f t="shared" ref="K27:K32" si="13">IF(D27=20,E27*F27,"-")</f>
        <v>-</v>
      </c>
      <c r="L27" s="257" t="str">
        <f t="shared" ref="L27:L32" si="14">IF(D27=25,E27*F27,"-")</f>
        <v>-</v>
      </c>
      <c r="M27" s="257" t="str">
        <f t="shared" ref="M27:M32" si="15">IF(D27=28,E27*F27,"-")</f>
        <v>-</v>
      </c>
      <c r="N27" s="257" t="str">
        <f t="shared" ref="N27:N32" si="16">IF(D27=32,E27*F27,"-")</f>
        <v>-</v>
      </c>
      <c r="O27" s="257">
        <f t="shared" ref="O27:O32" si="17">IF(D27=36,E27*F27,"-")</f>
        <v>94.471999999999994</v>
      </c>
      <c r="P27" s="104"/>
    </row>
    <row r="28" spans="1:16" ht="20.100000000000001" customHeight="1">
      <c r="A28" s="258"/>
      <c r="B28" s="255"/>
      <c r="C28" s="152" t="s">
        <v>173</v>
      </c>
      <c r="D28" s="83">
        <v>10</v>
      </c>
      <c r="E28" s="81">
        <f>13*2</f>
        <v>26</v>
      </c>
      <c r="F28" s="82">
        <f>+((1-0.1-0.04)*2+((0.75-0.1-0.035)*2)+(0.1*2))</f>
        <v>3.1500000000000004</v>
      </c>
      <c r="G28" s="257" t="str">
        <f t="shared" si="9"/>
        <v xml:space="preserve"> -</v>
      </c>
      <c r="H28" s="257">
        <f t="shared" si="10"/>
        <v>81.900000000000006</v>
      </c>
      <c r="I28" s="257" t="str">
        <f t="shared" si="11"/>
        <v>-</v>
      </c>
      <c r="J28" s="257" t="str">
        <f t="shared" si="12"/>
        <v>-</v>
      </c>
      <c r="K28" s="257" t="str">
        <f t="shared" si="13"/>
        <v>-</v>
      </c>
      <c r="L28" s="257" t="str">
        <f t="shared" si="14"/>
        <v>-</v>
      </c>
      <c r="M28" s="257" t="str">
        <f t="shared" si="15"/>
        <v>-</v>
      </c>
      <c r="N28" s="257" t="str">
        <f t="shared" si="16"/>
        <v>-</v>
      </c>
      <c r="O28" s="257" t="str">
        <f t="shared" si="17"/>
        <v>-</v>
      </c>
      <c r="P28" s="1"/>
    </row>
    <row r="29" spans="1:16" ht="20.100000000000001" customHeight="1">
      <c r="A29" s="258"/>
      <c r="B29" s="255"/>
      <c r="C29" s="152" t="s">
        <v>174</v>
      </c>
      <c r="D29" s="83">
        <v>10</v>
      </c>
      <c r="E29" s="81">
        <f>2*12*2</f>
        <v>48</v>
      </c>
      <c r="F29" s="82">
        <f>+((1-0.1-0.04)*2+(0.164*2)+0.2)</f>
        <v>2.2480000000000002</v>
      </c>
      <c r="G29" s="257" t="str">
        <f t="shared" si="9"/>
        <v xml:space="preserve"> -</v>
      </c>
      <c r="H29" s="257">
        <f t="shared" si="10"/>
        <v>107.90400000000001</v>
      </c>
      <c r="I29" s="257" t="str">
        <f t="shared" si="11"/>
        <v>-</v>
      </c>
      <c r="J29" s="257" t="str">
        <f t="shared" si="12"/>
        <v>-</v>
      </c>
      <c r="K29" s="257" t="str">
        <f t="shared" si="13"/>
        <v>-</v>
      </c>
      <c r="L29" s="257" t="str">
        <f t="shared" si="14"/>
        <v>-</v>
      </c>
      <c r="M29" s="257" t="str">
        <f t="shared" si="15"/>
        <v>-</v>
      </c>
      <c r="N29" s="257" t="str">
        <f t="shared" si="16"/>
        <v>-</v>
      </c>
      <c r="O29" s="257" t="str">
        <f t="shared" si="17"/>
        <v>-</v>
      </c>
      <c r="P29" s="1"/>
    </row>
    <row r="30" spans="1:16" ht="20.100000000000001" customHeight="1">
      <c r="A30" s="258"/>
      <c r="B30" s="255"/>
      <c r="C30" s="152" t="s">
        <v>175</v>
      </c>
      <c r="D30" s="83">
        <v>10</v>
      </c>
      <c r="E30" s="81">
        <v>12</v>
      </c>
      <c r="F30" s="82">
        <f>0.9+0.1+0.1</f>
        <v>1.1000000000000001</v>
      </c>
      <c r="G30" s="257" t="str">
        <f t="shared" si="9"/>
        <v xml:space="preserve"> -</v>
      </c>
      <c r="H30" s="257">
        <f t="shared" si="10"/>
        <v>13.200000000000001</v>
      </c>
      <c r="I30" s="257" t="str">
        <f t="shared" si="11"/>
        <v>-</v>
      </c>
      <c r="J30" s="257" t="str">
        <f t="shared" si="12"/>
        <v>-</v>
      </c>
      <c r="K30" s="257" t="str">
        <f t="shared" si="13"/>
        <v>-</v>
      </c>
      <c r="L30" s="257" t="str">
        <f t="shared" si="14"/>
        <v>-</v>
      </c>
      <c r="M30" s="257" t="str">
        <f t="shared" si="15"/>
        <v>-</v>
      </c>
      <c r="N30" s="257" t="str">
        <f t="shared" si="16"/>
        <v>-</v>
      </c>
      <c r="O30" s="257" t="str">
        <f t="shared" si="17"/>
        <v>-</v>
      </c>
      <c r="P30" s="1"/>
    </row>
    <row r="31" spans="1:16" ht="20.100000000000001" customHeight="1">
      <c r="A31" s="258"/>
      <c r="B31" s="255"/>
      <c r="C31" s="152" t="s">
        <v>174</v>
      </c>
      <c r="D31" s="83">
        <v>10</v>
      </c>
      <c r="E31" s="81">
        <f>2*12*2</f>
        <v>48</v>
      </c>
      <c r="F31" s="82">
        <f>+((0.75-0.1-0.04-0.035)*2+(0.206*2)+0.2)</f>
        <v>1.7619999999999998</v>
      </c>
      <c r="G31" s="257" t="str">
        <f t="shared" si="9"/>
        <v xml:space="preserve"> -</v>
      </c>
      <c r="H31" s="257">
        <f t="shared" si="10"/>
        <v>84.575999999999993</v>
      </c>
      <c r="I31" s="257" t="str">
        <f t="shared" si="11"/>
        <v>-</v>
      </c>
      <c r="J31" s="257" t="str">
        <f t="shared" si="12"/>
        <v>-</v>
      </c>
      <c r="K31" s="257" t="str">
        <f t="shared" si="13"/>
        <v>-</v>
      </c>
      <c r="L31" s="257" t="str">
        <f t="shared" si="14"/>
        <v>-</v>
      </c>
      <c r="M31" s="257" t="str">
        <f t="shared" si="15"/>
        <v>-</v>
      </c>
      <c r="N31" s="257" t="str">
        <f t="shared" si="16"/>
        <v>-</v>
      </c>
      <c r="O31" s="257" t="str">
        <f t="shared" si="17"/>
        <v>-</v>
      </c>
      <c r="P31" s="1"/>
    </row>
    <row r="32" spans="1:16" ht="20.100000000000001" customHeight="1">
      <c r="A32" s="258"/>
      <c r="B32" s="255"/>
      <c r="C32" s="152" t="s">
        <v>175</v>
      </c>
      <c r="D32" s="83">
        <v>10</v>
      </c>
      <c r="E32" s="81">
        <v>12</v>
      </c>
      <c r="F32" s="82">
        <f>0.65+0.1+0.1-0.035</f>
        <v>0.81499999999999995</v>
      </c>
      <c r="G32" s="257" t="str">
        <f t="shared" si="9"/>
        <v xml:space="preserve"> -</v>
      </c>
      <c r="H32" s="257">
        <f t="shared" si="10"/>
        <v>9.7799999999999994</v>
      </c>
      <c r="I32" s="257" t="str">
        <f t="shared" si="11"/>
        <v>-</v>
      </c>
      <c r="J32" s="257" t="str">
        <f t="shared" si="12"/>
        <v>-</v>
      </c>
      <c r="K32" s="257" t="str">
        <f t="shared" si="13"/>
        <v>-</v>
      </c>
      <c r="L32" s="257" t="str">
        <f t="shared" si="14"/>
        <v>-</v>
      </c>
      <c r="M32" s="257" t="str">
        <f t="shared" si="15"/>
        <v>-</v>
      </c>
      <c r="N32" s="257" t="str">
        <f t="shared" si="16"/>
        <v>-</v>
      </c>
      <c r="O32" s="257" t="str">
        <f t="shared" si="17"/>
        <v>-</v>
      </c>
      <c r="P32" s="1"/>
    </row>
    <row r="33" spans="1:16" ht="20.100000000000001" customHeight="1">
      <c r="A33" s="258"/>
      <c r="B33" s="255"/>
      <c r="C33" s="151" t="s">
        <v>176</v>
      </c>
      <c r="D33" s="83"/>
      <c r="E33" s="81"/>
      <c r="F33" s="82"/>
      <c r="G33" s="257"/>
      <c r="H33" s="257"/>
      <c r="I33" s="257"/>
      <c r="J33" s="257"/>
      <c r="K33" s="257"/>
      <c r="L33" s="257"/>
      <c r="M33" s="257"/>
      <c r="N33" s="257"/>
      <c r="O33" s="257"/>
      <c r="P33" s="1"/>
    </row>
    <row r="34" spans="1:16" ht="20.100000000000001" customHeight="1">
      <c r="A34" s="258"/>
      <c r="B34" s="255"/>
      <c r="C34" s="152" t="s">
        <v>169</v>
      </c>
      <c r="D34" s="83">
        <v>36</v>
      </c>
      <c r="E34" s="144">
        <f>28</f>
        <v>28</v>
      </c>
      <c r="F34" s="153">
        <f>1.5-0.075-0.04-0.036-0.036+0.374</f>
        <v>1.6869999999999998</v>
      </c>
      <c r="G34" s="257" t="str">
        <f t="shared" ref="G34:G37" si="18">IF(D34 = 8,E34*F34," -")</f>
        <v xml:space="preserve"> -</v>
      </c>
      <c r="H34" s="257" t="str">
        <f t="shared" ref="H34:H37" si="19">IF(D34 = 10,E34*F34," -")</f>
        <v xml:space="preserve"> -</v>
      </c>
      <c r="I34" s="257" t="str">
        <f t="shared" ref="I34:I37" si="20">IF(D34=12,E34*F34,"-")</f>
        <v>-</v>
      </c>
      <c r="J34" s="257" t="str">
        <f t="shared" ref="J34:J37" si="21">IF(D34=16,E34*F34,"-")</f>
        <v>-</v>
      </c>
      <c r="K34" s="257" t="str">
        <f t="shared" ref="K34:K37" si="22">IF(D34=20,E34*F34,"-")</f>
        <v>-</v>
      </c>
      <c r="L34" s="257" t="str">
        <f t="shared" ref="L34:L37" si="23">IF(D34=25,E34*F34,"-")</f>
        <v>-</v>
      </c>
      <c r="M34" s="257" t="str">
        <f t="shared" ref="M34:M37" si="24">IF(D34=28,E34*F34,"-")</f>
        <v>-</v>
      </c>
      <c r="N34" s="257" t="str">
        <f t="shared" ref="N34:N37" si="25">IF(D34=32,E34*F34,"-")</f>
        <v>-</v>
      </c>
      <c r="O34" s="257">
        <f t="shared" ref="O34:O37" si="26">IF(D34=36,E34*F34,"-")</f>
        <v>47.235999999999997</v>
      </c>
      <c r="P34" s="1"/>
    </row>
    <row r="35" spans="1:16" ht="20.100000000000001" customHeight="1">
      <c r="A35" s="258"/>
      <c r="B35" s="255"/>
      <c r="C35" s="152" t="s">
        <v>177</v>
      </c>
      <c r="D35" s="83">
        <v>10</v>
      </c>
      <c r="E35" s="81">
        <f>15</f>
        <v>15</v>
      </c>
      <c r="F35" s="82">
        <f>+((1-0.1-0.04)*2+((1-0.1-0.035)*2)+(0.1*2))</f>
        <v>3.6500000000000004</v>
      </c>
      <c r="G35" s="257" t="str">
        <f t="shared" si="18"/>
        <v xml:space="preserve"> -</v>
      </c>
      <c r="H35" s="257">
        <f t="shared" si="19"/>
        <v>54.750000000000007</v>
      </c>
      <c r="I35" s="257" t="str">
        <f t="shared" si="20"/>
        <v>-</v>
      </c>
      <c r="J35" s="257" t="str">
        <f t="shared" si="21"/>
        <v>-</v>
      </c>
      <c r="K35" s="257" t="str">
        <f t="shared" si="22"/>
        <v>-</v>
      </c>
      <c r="L35" s="257" t="str">
        <f t="shared" si="23"/>
        <v>-</v>
      </c>
      <c r="M35" s="257" t="str">
        <f t="shared" si="24"/>
        <v>-</v>
      </c>
      <c r="N35" s="257" t="str">
        <f t="shared" si="25"/>
        <v>-</v>
      </c>
      <c r="O35" s="257" t="str">
        <f t="shared" si="26"/>
        <v>-</v>
      </c>
      <c r="P35" s="1"/>
    </row>
    <row r="36" spans="1:16" ht="20.100000000000001" customHeight="1">
      <c r="A36" s="258"/>
      <c r="B36" s="255"/>
      <c r="C36" s="152" t="s">
        <v>178</v>
      </c>
      <c r="D36" s="83">
        <v>10</v>
      </c>
      <c r="E36" s="81">
        <f>14*3</f>
        <v>42</v>
      </c>
      <c r="F36" s="82">
        <f>+((1-0.1-0.04)*2+(0.182*2)+0.2)</f>
        <v>2.2840000000000003</v>
      </c>
      <c r="G36" s="257" t="str">
        <f t="shared" si="18"/>
        <v xml:space="preserve"> -</v>
      </c>
      <c r="H36" s="257">
        <f t="shared" si="19"/>
        <v>95.928000000000011</v>
      </c>
      <c r="I36" s="257" t="str">
        <f t="shared" si="20"/>
        <v>-</v>
      </c>
      <c r="J36" s="257" t="str">
        <f t="shared" si="21"/>
        <v>-</v>
      </c>
      <c r="K36" s="257" t="str">
        <f t="shared" si="22"/>
        <v>-</v>
      </c>
      <c r="L36" s="257" t="str">
        <f t="shared" si="23"/>
        <v>-</v>
      </c>
      <c r="M36" s="257" t="str">
        <f t="shared" si="24"/>
        <v>-</v>
      </c>
      <c r="N36" s="257" t="str">
        <f t="shared" si="25"/>
        <v>-</v>
      </c>
      <c r="O36" s="257" t="str">
        <f t="shared" si="26"/>
        <v>-</v>
      </c>
      <c r="P36" s="1"/>
    </row>
    <row r="37" spans="1:16" ht="20.100000000000001" customHeight="1">
      <c r="A37" s="258"/>
      <c r="B37" s="255"/>
      <c r="C37" s="152" t="s">
        <v>178</v>
      </c>
      <c r="D37" s="83">
        <v>10</v>
      </c>
      <c r="E37" s="81">
        <f>14*3</f>
        <v>42</v>
      </c>
      <c r="F37" s="82">
        <f>+((1-0.1-0.04-0.035)*2+(0.182*2)+0.2)</f>
        <v>2.214</v>
      </c>
      <c r="G37" s="257" t="str">
        <f t="shared" si="18"/>
        <v xml:space="preserve"> -</v>
      </c>
      <c r="H37" s="257">
        <f t="shared" si="19"/>
        <v>92.988</v>
      </c>
      <c r="I37" s="257" t="str">
        <f t="shared" si="20"/>
        <v>-</v>
      </c>
      <c r="J37" s="257" t="str">
        <f t="shared" si="21"/>
        <v>-</v>
      </c>
      <c r="K37" s="257" t="str">
        <f t="shared" si="22"/>
        <v>-</v>
      </c>
      <c r="L37" s="257" t="str">
        <f t="shared" si="23"/>
        <v>-</v>
      </c>
      <c r="M37" s="257" t="str">
        <f t="shared" si="24"/>
        <v>-</v>
      </c>
      <c r="N37" s="257" t="str">
        <f t="shared" si="25"/>
        <v>-</v>
      </c>
      <c r="O37" s="257" t="str">
        <f t="shared" si="26"/>
        <v>-</v>
      </c>
      <c r="P37" s="1"/>
    </row>
    <row r="38" spans="1:16" ht="20.100000000000001" customHeight="1">
      <c r="A38" s="258"/>
      <c r="B38" s="255"/>
      <c r="C38" s="151" t="s">
        <v>179</v>
      </c>
      <c r="D38" s="83"/>
      <c r="E38" s="81"/>
      <c r="F38" s="82"/>
      <c r="G38" s="257"/>
      <c r="H38" s="257"/>
      <c r="I38" s="257"/>
      <c r="J38" s="257"/>
      <c r="K38" s="257"/>
      <c r="L38" s="257"/>
      <c r="M38" s="257"/>
      <c r="N38" s="257"/>
      <c r="O38" s="257"/>
      <c r="P38" s="1"/>
    </row>
    <row r="39" spans="1:16" ht="20.100000000000001" customHeight="1">
      <c r="A39" s="258"/>
      <c r="B39" s="255"/>
      <c r="C39" s="152" t="s">
        <v>169</v>
      </c>
      <c r="D39" s="83">
        <v>36</v>
      </c>
      <c r="E39" s="144">
        <v>20</v>
      </c>
      <c r="F39" s="153">
        <f>1.5-0.075-0.04-0.036-0.036+0.374</f>
        <v>1.6869999999999998</v>
      </c>
      <c r="G39" s="257" t="str">
        <f t="shared" ref="G39:G42" si="27">IF(D39 = 8,E39*F39," -")</f>
        <v xml:space="preserve"> -</v>
      </c>
      <c r="H39" s="257" t="str">
        <f t="shared" ref="H39:H42" si="28">IF(D39 = 10,E39*F39," -")</f>
        <v xml:space="preserve"> -</v>
      </c>
      <c r="I39" s="257" t="str">
        <f t="shared" ref="I39:I42" si="29">IF(D39=12,E39*F39,"-")</f>
        <v>-</v>
      </c>
      <c r="J39" s="257" t="str">
        <f t="shared" ref="J39:J42" si="30">IF(D39=16,E39*F39,"-")</f>
        <v>-</v>
      </c>
      <c r="K39" s="257" t="str">
        <f t="shared" ref="K39:K42" si="31">IF(D39=20,E39*F39,"-")</f>
        <v>-</v>
      </c>
      <c r="L39" s="257" t="str">
        <f t="shared" ref="L39:L42" si="32">IF(D39=25,E39*F39,"-")</f>
        <v>-</v>
      </c>
      <c r="M39" s="257" t="str">
        <f t="shared" ref="M39:M42" si="33">IF(D39=28,E39*F39,"-")</f>
        <v>-</v>
      </c>
      <c r="N39" s="257" t="str">
        <f t="shared" ref="N39:N42" si="34">IF(D39=32,E39*F39,"-")</f>
        <v>-</v>
      </c>
      <c r="O39" s="257">
        <f t="shared" ref="O39:O42" si="35">IF(D39=36,E39*F39,"-")</f>
        <v>33.739999999999995</v>
      </c>
      <c r="P39" s="1"/>
    </row>
    <row r="40" spans="1:16" ht="20.100000000000001" customHeight="1">
      <c r="A40" s="258"/>
      <c r="B40" s="255"/>
      <c r="C40" s="152" t="s">
        <v>177</v>
      </c>
      <c r="D40" s="83">
        <v>10</v>
      </c>
      <c r="E40" s="81">
        <f>15</f>
        <v>15</v>
      </c>
      <c r="F40" s="82">
        <f>+((1-0.1-0.04)*2+((0.75-0.1)*2)+(0.1*2))</f>
        <v>3.22</v>
      </c>
      <c r="G40" s="257" t="str">
        <f t="shared" si="27"/>
        <v xml:space="preserve"> -</v>
      </c>
      <c r="H40" s="257">
        <f t="shared" si="28"/>
        <v>48.300000000000004</v>
      </c>
      <c r="I40" s="257" t="str">
        <f t="shared" si="29"/>
        <v>-</v>
      </c>
      <c r="J40" s="257" t="str">
        <f t="shared" si="30"/>
        <v>-</v>
      </c>
      <c r="K40" s="257" t="str">
        <f t="shared" si="31"/>
        <v>-</v>
      </c>
      <c r="L40" s="257" t="str">
        <f t="shared" si="32"/>
        <v>-</v>
      </c>
      <c r="M40" s="257" t="str">
        <f t="shared" si="33"/>
        <v>-</v>
      </c>
      <c r="N40" s="257" t="str">
        <f t="shared" si="34"/>
        <v>-</v>
      </c>
      <c r="O40" s="257" t="str">
        <f t="shared" si="35"/>
        <v>-</v>
      </c>
      <c r="P40" s="1"/>
    </row>
    <row r="41" spans="1:16" ht="20.100000000000001" customHeight="1">
      <c r="A41" s="258"/>
      <c r="B41" s="255"/>
      <c r="C41" s="152" t="s">
        <v>178</v>
      </c>
      <c r="D41" s="83">
        <v>10</v>
      </c>
      <c r="E41" s="81">
        <f>14*2</f>
        <v>28</v>
      </c>
      <c r="F41" s="82">
        <f>+((1-0.1-0.04)*2+(0.186*2)+0.2)</f>
        <v>2.2920000000000003</v>
      </c>
      <c r="G41" s="257" t="str">
        <f t="shared" si="27"/>
        <v xml:space="preserve"> -</v>
      </c>
      <c r="H41" s="257">
        <f t="shared" si="28"/>
        <v>64.176000000000002</v>
      </c>
      <c r="I41" s="257" t="str">
        <f t="shared" si="29"/>
        <v>-</v>
      </c>
      <c r="J41" s="257" t="str">
        <f t="shared" si="30"/>
        <v>-</v>
      </c>
      <c r="K41" s="257" t="str">
        <f t="shared" si="31"/>
        <v>-</v>
      </c>
      <c r="L41" s="257" t="str">
        <f t="shared" si="32"/>
        <v>-</v>
      </c>
      <c r="M41" s="257" t="str">
        <f t="shared" si="33"/>
        <v>-</v>
      </c>
      <c r="N41" s="257" t="str">
        <f t="shared" si="34"/>
        <v>-</v>
      </c>
      <c r="O41" s="257" t="str">
        <f t="shared" si="35"/>
        <v>-</v>
      </c>
      <c r="P41" s="1"/>
    </row>
    <row r="42" spans="1:16">
      <c r="A42" s="258"/>
      <c r="B42" s="255"/>
      <c r="C42" s="152" t="s">
        <v>178</v>
      </c>
      <c r="D42" s="83">
        <v>10</v>
      </c>
      <c r="E42" s="81">
        <f>14*2</f>
        <v>28</v>
      </c>
      <c r="F42" s="82">
        <f>+((0.75-0.1-0.04)*2+(0.236*2)+0.2)</f>
        <v>1.8919999999999999</v>
      </c>
      <c r="G42" s="257" t="str">
        <f t="shared" si="27"/>
        <v xml:space="preserve"> -</v>
      </c>
      <c r="H42" s="257">
        <f t="shared" si="28"/>
        <v>52.975999999999999</v>
      </c>
      <c r="I42" s="257" t="str">
        <f t="shared" si="29"/>
        <v>-</v>
      </c>
      <c r="J42" s="257" t="str">
        <f t="shared" si="30"/>
        <v>-</v>
      </c>
      <c r="K42" s="257" t="str">
        <f t="shared" si="31"/>
        <v>-</v>
      </c>
      <c r="L42" s="257" t="str">
        <f t="shared" si="32"/>
        <v>-</v>
      </c>
      <c r="M42" s="257" t="str">
        <f t="shared" si="33"/>
        <v>-</v>
      </c>
      <c r="N42" s="257" t="str">
        <f t="shared" si="34"/>
        <v>-</v>
      </c>
      <c r="O42" s="257" t="str">
        <f t="shared" si="35"/>
        <v>-</v>
      </c>
      <c r="P42" s="1"/>
    </row>
    <row r="43" spans="1:16" ht="19.149999999999999" customHeight="1">
      <c r="A43" s="258"/>
      <c r="B43" s="255"/>
      <c r="C43" s="151" t="s">
        <v>180</v>
      </c>
      <c r="D43" s="83"/>
      <c r="E43" s="81"/>
      <c r="F43" s="82"/>
      <c r="G43" s="257"/>
      <c r="H43" s="257"/>
      <c r="I43" s="257"/>
      <c r="J43" s="257"/>
      <c r="K43" s="257"/>
      <c r="L43" s="257"/>
      <c r="M43" s="257"/>
      <c r="N43" s="257"/>
      <c r="O43" s="257"/>
      <c r="P43" s="1"/>
    </row>
    <row r="44" spans="1:16" ht="19.149999999999999" customHeight="1">
      <c r="A44" s="258"/>
      <c r="B44" s="255"/>
      <c r="C44" s="152" t="s">
        <v>169</v>
      </c>
      <c r="D44" s="83">
        <v>36</v>
      </c>
      <c r="E44" s="144">
        <v>24</v>
      </c>
      <c r="F44" s="153">
        <f>1.5-0.075-0.04-0.036-0.036+0.374</f>
        <v>1.6869999999999998</v>
      </c>
      <c r="G44" s="257" t="str">
        <f t="shared" ref="G44:G49" si="36">IF(D44 = 8,E44*F44," -")</f>
        <v xml:space="preserve"> -</v>
      </c>
      <c r="H44" s="257" t="str">
        <f t="shared" ref="H44:H49" si="37">IF(D44 = 10,E44*F44," -")</f>
        <v xml:space="preserve"> -</v>
      </c>
      <c r="I44" s="257" t="str">
        <f t="shared" ref="I44:I49" si="38">IF(D44=12,E44*F44,"-")</f>
        <v>-</v>
      </c>
      <c r="J44" s="257" t="str">
        <f t="shared" ref="J44:J49" si="39">IF(D44=16,E44*F44,"-")</f>
        <v>-</v>
      </c>
      <c r="K44" s="257" t="str">
        <f t="shared" ref="K44:K49" si="40">IF(D44=20,E44*F44,"-")</f>
        <v>-</v>
      </c>
      <c r="L44" s="257" t="str">
        <f t="shared" ref="L44:L49" si="41">IF(D44=25,E44*F44,"-")</f>
        <v>-</v>
      </c>
      <c r="M44" s="257" t="str">
        <f t="shared" ref="M44:M49" si="42">IF(D44=28,E44*F44,"-")</f>
        <v>-</v>
      </c>
      <c r="N44" s="257" t="str">
        <f t="shared" ref="N44:N49" si="43">IF(D44=32,E44*F44,"-")</f>
        <v>-</v>
      </c>
      <c r="O44" s="257">
        <f t="shared" ref="O44:O49" si="44">IF(D44=36,E44*F44,"-")</f>
        <v>40.488</v>
      </c>
      <c r="P44" s="1"/>
    </row>
    <row r="45" spans="1:16" ht="18.600000000000001" customHeight="1">
      <c r="A45" s="258"/>
      <c r="B45" s="255"/>
      <c r="C45" s="152" t="s">
        <v>177</v>
      </c>
      <c r="D45" s="83">
        <v>10</v>
      </c>
      <c r="E45" s="81">
        <f>15</f>
        <v>15</v>
      </c>
      <c r="F45" s="82">
        <f>+((1-0.1-0.04)*2+((0.75-0.1-0.035)*2)+(0.1*2))</f>
        <v>3.1500000000000004</v>
      </c>
      <c r="G45" s="257" t="str">
        <f t="shared" si="36"/>
        <v xml:space="preserve"> -</v>
      </c>
      <c r="H45" s="257">
        <f t="shared" si="37"/>
        <v>47.250000000000007</v>
      </c>
      <c r="I45" s="257" t="str">
        <f t="shared" si="38"/>
        <v>-</v>
      </c>
      <c r="J45" s="257" t="str">
        <f t="shared" si="39"/>
        <v>-</v>
      </c>
      <c r="K45" s="257" t="str">
        <f t="shared" si="40"/>
        <v>-</v>
      </c>
      <c r="L45" s="257" t="str">
        <f t="shared" si="41"/>
        <v>-</v>
      </c>
      <c r="M45" s="257" t="str">
        <f t="shared" si="42"/>
        <v>-</v>
      </c>
      <c r="N45" s="257" t="str">
        <f t="shared" si="43"/>
        <v>-</v>
      </c>
      <c r="O45" s="257" t="str">
        <f t="shared" si="44"/>
        <v>-</v>
      </c>
      <c r="P45" s="1"/>
    </row>
    <row r="46" spans="1:16" ht="20.100000000000001" customHeight="1">
      <c r="A46" s="258"/>
      <c r="B46" s="255"/>
      <c r="C46" s="152" t="s">
        <v>174</v>
      </c>
      <c r="D46" s="83">
        <v>10</v>
      </c>
      <c r="E46" s="81">
        <v>14</v>
      </c>
      <c r="F46" s="82">
        <f>+((1-0.1-0.04)*2+(0.164*2)+0.2)</f>
        <v>2.2480000000000002</v>
      </c>
      <c r="G46" s="257" t="str">
        <f t="shared" si="36"/>
        <v xml:space="preserve"> -</v>
      </c>
      <c r="H46" s="257">
        <f t="shared" si="37"/>
        <v>31.472000000000001</v>
      </c>
      <c r="I46" s="257" t="str">
        <f t="shared" si="38"/>
        <v>-</v>
      </c>
      <c r="J46" s="257" t="str">
        <f t="shared" si="39"/>
        <v>-</v>
      </c>
      <c r="K46" s="257" t="str">
        <f t="shared" si="40"/>
        <v>-</v>
      </c>
      <c r="L46" s="257" t="str">
        <f t="shared" si="41"/>
        <v>-</v>
      </c>
      <c r="M46" s="257" t="str">
        <f t="shared" si="42"/>
        <v>-</v>
      </c>
      <c r="N46" s="257" t="str">
        <f t="shared" si="43"/>
        <v>-</v>
      </c>
      <c r="O46" s="257" t="str">
        <f t="shared" si="44"/>
        <v>-</v>
      </c>
      <c r="P46" s="1"/>
    </row>
    <row r="47" spans="1:16" ht="20.100000000000001" customHeight="1">
      <c r="A47" s="258"/>
      <c r="B47" s="255"/>
      <c r="C47" s="152" t="s">
        <v>175</v>
      </c>
      <c r="D47" s="83">
        <v>10</v>
      </c>
      <c r="E47" s="81">
        <v>14</v>
      </c>
      <c r="F47" s="82">
        <f>0.9+0.1+0.1</f>
        <v>1.1000000000000001</v>
      </c>
      <c r="G47" s="257" t="str">
        <f t="shared" si="36"/>
        <v xml:space="preserve"> -</v>
      </c>
      <c r="H47" s="257">
        <f t="shared" si="37"/>
        <v>15.400000000000002</v>
      </c>
      <c r="I47" s="257" t="str">
        <f t="shared" si="38"/>
        <v>-</v>
      </c>
      <c r="J47" s="257" t="str">
        <f t="shared" si="39"/>
        <v>-</v>
      </c>
      <c r="K47" s="257" t="str">
        <f t="shared" si="40"/>
        <v>-</v>
      </c>
      <c r="L47" s="257" t="str">
        <f t="shared" si="41"/>
        <v>-</v>
      </c>
      <c r="M47" s="257" t="str">
        <f t="shared" si="42"/>
        <v>-</v>
      </c>
      <c r="N47" s="257" t="str">
        <f t="shared" si="43"/>
        <v>-</v>
      </c>
      <c r="O47" s="257" t="str">
        <f t="shared" si="44"/>
        <v>-</v>
      </c>
      <c r="P47" s="1"/>
    </row>
    <row r="48" spans="1:16" ht="20.100000000000001" customHeight="1">
      <c r="A48" s="258"/>
      <c r="B48" s="255"/>
      <c r="C48" s="152" t="s">
        <v>174</v>
      </c>
      <c r="D48" s="83">
        <v>10</v>
      </c>
      <c r="E48" s="81">
        <v>14</v>
      </c>
      <c r="F48" s="82">
        <f>+((0.75-0.1-0.04)*2+(0.206*2)+0.2)</f>
        <v>1.8319999999999999</v>
      </c>
      <c r="G48" s="257" t="str">
        <f t="shared" si="36"/>
        <v xml:space="preserve"> -</v>
      </c>
      <c r="H48" s="257">
        <f t="shared" si="37"/>
        <v>25.647999999999996</v>
      </c>
      <c r="I48" s="257" t="str">
        <f t="shared" si="38"/>
        <v>-</v>
      </c>
      <c r="J48" s="257" t="str">
        <f t="shared" si="39"/>
        <v>-</v>
      </c>
      <c r="K48" s="257" t="str">
        <f t="shared" si="40"/>
        <v>-</v>
      </c>
      <c r="L48" s="257" t="str">
        <f t="shared" si="41"/>
        <v>-</v>
      </c>
      <c r="M48" s="257" t="str">
        <f t="shared" si="42"/>
        <v>-</v>
      </c>
      <c r="N48" s="257" t="str">
        <f t="shared" si="43"/>
        <v>-</v>
      </c>
      <c r="O48" s="257" t="str">
        <f t="shared" si="44"/>
        <v>-</v>
      </c>
      <c r="P48" s="1"/>
    </row>
    <row r="49" spans="1:16" ht="20.100000000000001" customHeight="1">
      <c r="A49" s="258"/>
      <c r="B49" s="255"/>
      <c r="C49" s="152" t="s">
        <v>175</v>
      </c>
      <c r="D49" s="83">
        <v>10</v>
      </c>
      <c r="E49" s="81">
        <v>12</v>
      </c>
      <c r="F49" s="82">
        <f>0.65+0.1+0.1</f>
        <v>0.85</v>
      </c>
      <c r="G49" s="257" t="str">
        <f t="shared" si="36"/>
        <v xml:space="preserve"> -</v>
      </c>
      <c r="H49" s="257">
        <f t="shared" si="37"/>
        <v>10.199999999999999</v>
      </c>
      <c r="I49" s="257" t="str">
        <f t="shared" si="38"/>
        <v>-</v>
      </c>
      <c r="J49" s="257" t="str">
        <f t="shared" si="39"/>
        <v>-</v>
      </c>
      <c r="K49" s="257" t="str">
        <f t="shared" si="40"/>
        <v>-</v>
      </c>
      <c r="L49" s="257" t="str">
        <f t="shared" si="41"/>
        <v>-</v>
      </c>
      <c r="M49" s="257" t="str">
        <f t="shared" si="42"/>
        <v>-</v>
      </c>
      <c r="N49" s="257" t="str">
        <f t="shared" si="43"/>
        <v>-</v>
      </c>
      <c r="O49" s="257" t="str">
        <f t="shared" si="44"/>
        <v>-</v>
      </c>
      <c r="P49" s="1"/>
    </row>
    <row r="50" spans="1:16" ht="20.100000000000001" customHeight="1">
      <c r="A50" s="251"/>
      <c r="B50" s="252"/>
      <c r="C50" s="259" t="s">
        <v>181</v>
      </c>
      <c r="D50" s="83"/>
      <c r="E50" s="81"/>
      <c r="F50" s="143"/>
      <c r="G50" s="257"/>
      <c r="H50" s="257"/>
      <c r="I50" s="257"/>
      <c r="J50" s="257"/>
      <c r="K50" s="257"/>
      <c r="L50" s="257"/>
      <c r="M50" s="257"/>
      <c r="N50" s="257"/>
      <c r="O50" s="257"/>
      <c r="P50" s="1"/>
    </row>
    <row r="51" spans="1:16" ht="20.100000000000001" customHeight="1">
      <c r="A51" s="258"/>
      <c r="B51" s="255"/>
      <c r="C51" s="81" t="s">
        <v>169</v>
      </c>
      <c r="D51" s="83">
        <v>25</v>
      </c>
      <c r="E51" s="81">
        <f>(23+22)*2</f>
        <v>90</v>
      </c>
      <c r="F51" s="153">
        <f>1.5-0.075-0.04-0.036-0.036+0.374</f>
        <v>1.6869999999999998</v>
      </c>
      <c r="G51" s="257" t="str">
        <f t="shared" ref="G51:G52" si="45">IF(D51 = 8,E51*F51," -")</f>
        <v xml:space="preserve"> -</v>
      </c>
      <c r="H51" s="257" t="str">
        <f t="shared" ref="H51:H52" si="46">IF(D51 = 10,E51*F51," -")</f>
        <v xml:space="preserve"> -</v>
      </c>
      <c r="I51" s="257" t="str">
        <f t="shared" ref="I51:I52" si="47">IF(D51=12,E51*F51,"-")</f>
        <v>-</v>
      </c>
      <c r="J51" s="257" t="str">
        <f t="shared" ref="J51:J52" si="48">IF(D51=16,E51*F51,"-")</f>
        <v>-</v>
      </c>
      <c r="K51" s="257" t="str">
        <f t="shared" ref="K51:K52" si="49">IF(D51=20,E51*F51,"-")</f>
        <v>-</v>
      </c>
      <c r="L51" s="257">
        <f t="shared" ref="L51:L52" si="50">IF(D51=25,E51*F51,"-")</f>
        <v>151.82999999999998</v>
      </c>
      <c r="M51" s="257" t="str">
        <f t="shared" ref="M51:M52" si="51">IF(D51=28,E51*F51,"-")</f>
        <v>-</v>
      </c>
      <c r="N51" s="257" t="str">
        <f t="shared" ref="N51:N52" si="52">IF(D51=32,E51*F51,"-")</f>
        <v>-</v>
      </c>
      <c r="O51" s="257" t="str">
        <f>IF(D51=36,E51*F51,"-")</f>
        <v>-</v>
      </c>
      <c r="P51" s="1"/>
    </row>
    <row r="52" spans="1:16" ht="20.100000000000001" customHeight="1">
      <c r="A52" s="258"/>
      <c r="B52" s="255"/>
      <c r="C52" s="81" t="s">
        <v>182</v>
      </c>
      <c r="D52" s="83">
        <v>12</v>
      </c>
      <c r="E52" s="81">
        <v>2</v>
      </c>
      <c r="F52" s="143">
        <v>8.8000000000000007</v>
      </c>
      <c r="G52" s="257" t="str">
        <f t="shared" si="45"/>
        <v xml:space="preserve"> -</v>
      </c>
      <c r="H52" s="257" t="str">
        <f t="shared" si="46"/>
        <v xml:space="preserve"> -</v>
      </c>
      <c r="I52" s="257">
        <f t="shared" si="47"/>
        <v>17.600000000000001</v>
      </c>
      <c r="J52" s="257" t="str">
        <f t="shared" si="48"/>
        <v>-</v>
      </c>
      <c r="K52" s="257" t="str">
        <f t="shared" si="49"/>
        <v>-</v>
      </c>
      <c r="L52" s="257" t="str">
        <f t="shared" si="50"/>
        <v>-</v>
      </c>
      <c r="M52" s="257" t="str">
        <f t="shared" si="51"/>
        <v>-</v>
      </c>
      <c r="N52" s="257" t="str">
        <f t="shared" si="52"/>
        <v>-</v>
      </c>
      <c r="O52" s="257" t="str">
        <f t="shared" ref="O52" si="53">IF(D52=36,E52*F52,"-")</f>
        <v>-</v>
      </c>
      <c r="P52" s="1"/>
    </row>
    <row r="53" spans="1:16" ht="20.100000000000001" customHeight="1">
      <c r="A53" s="258"/>
      <c r="B53" s="255"/>
      <c r="C53" s="151" t="s">
        <v>183</v>
      </c>
      <c r="D53" s="83"/>
      <c r="E53" s="81"/>
      <c r="F53" s="82"/>
      <c r="G53" s="257"/>
      <c r="H53" s="257"/>
      <c r="I53" s="257"/>
      <c r="J53" s="257"/>
      <c r="K53" s="257"/>
      <c r="L53" s="257"/>
      <c r="M53" s="257"/>
      <c r="N53" s="257"/>
      <c r="O53" s="257"/>
      <c r="P53" s="1"/>
    </row>
    <row r="54" spans="1:16" ht="20.100000000000001" customHeight="1">
      <c r="A54" s="258"/>
      <c r="B54" s="255"/>
      <c r="C54" s="81" t="s">
        <v>169</v>
      </c>
      <c r="D54" s="83">
        <v>28</v>
      </c>
      <c r="E54" s="81">
        <f>(16+15)*2</f>
        <v>62</v>
      </c>
      <c r="F54" s="153">
        <f>1.5-0.075-0.04-0.036-0.036+0.374</f>
        <v>1.6869999999999998</v>
      </c>
      <c r="G54" s="257" t="str">
        <f t="shared" ref="G54:G56" si="54">IF(D54 = 8,E54*F54," -")</f>
        <v xml:space="preserve"> -</v>
      </c>
      <c r="H54" s="257" t="str">
        <f t="shared" ref="H54:H56" si="55">IF(D54 = 10,E54*F54," -")</f>
        <v xml:space="preserve"> -</v>
      </c>
      <c r="I54" s="257" t="str">
        <f t="shared" ref="I54:I56" si="56">IF(D54=12,E54*F54,"-")</f>
        <v>-</v>
      </c>
      <c r="J54" s="257" t="str">
        <f t="shared" ref="J54:J56" si="57">IF(D54=16,E54*F54,"-")</f>
        <v>-</v>
      </c>
      <c r="K54" s="257" t="str">
        <f t="shared" ref="K54:K56" si="58">IF(D54=20,E54*F54,"-")</f>
        <v>-</v>
      </c>
      <c r="L54" s="257" t="str">
        <f t="shared" ref="L54:L56" si="59">IF(D54=25,E54*F54,"-")</f>
        <v>-</v>
      </c>
      <c r="M54" s="257">
        <f t="shared" ref="M54:M56" si="60">IF(D54=28,E54*F54,"-")</f>
        <v>104.59399999999999</v>
      </c>
      <c r="N54" s="257" t="str">
        <f t="shared" ref="N54:N56" si="61">IF(D54=32,E54*F54,"-")</f>
        <v>-</v>
      </c>
      <c r="O54" s="257" t="str">
        <f t="shared" ref="O54:O56" si="62">IF(D54=36,E54*F54,"-")</f>
        <v>-</v>
      </c>
      <c r="P54" s="1"/>
    </row>
    <row r="55" spans="1:16" ht="20.100000000000001" customHeight="1">
      <c r="A55" s="258"/>
      <c r="B55" s="255"/>
      <c r="C55" s="81" t="s">
        <v>182</v>
      </c>
      <c r="D55" s="83">
        <v>12</v>
      </c>
      <c r="E55" s="81">
        <v>2</v>
      </c>
      <c r="F55" s="143">
        <v>6.1</v>
      </c>
      <c r="G55" s="257" t="str">
        <f t="shared" si="54"/>
        <v xml:space="preserve"> -</v>
      </c>
      <c r="H55" s="257" t="str">
        <f t="shared" si="55"/>
        <v xml:space="preserve"> -</v>
      </c>
      <c r="I55" s="257">
        <f t="shared" si="56"/>
        <v>12.2</v>
      </c>
      <c r="J55" s="257" t="str">
        <f t="shared" si="57"/>
        <v>-</v>
      </c>
      <c r="K55" s="257" t="str">
        <f t="shared" si="58"/>
        <v>-</v>
      </c>
      <c r="L55" s="257" t="str">
        <f t="shared" si="59"/>
        <v>-</v>
      </c>
      <c r="M55" s="257" t="str">
        <f t="shared" si="60"/>
        <v>-</v>
      </c>
      <c r="N55" s="257" t="str">
        <f t="shared" si="61"/>
        <v>-</v>
      </c>
      <c r="O55" s="257" t="str">
        <f t="shared" si="62"/>
        <v>-</v>
      </c>
      <c r="P55" s="1"/>
    </row>
    <row r="56" spans="1:16" ht="20.100000000000001" customHeight="1">
      <c r="A56" s="258"/>
      <c r="B56" s="255"/>
      <c r="C56" s="84" t="s">
        <v>184</v>
      </c>
      <c r="D56" s="83">
        <v>25</v>
      </c>
      <c r="E56" s="81">
        <v>257</v>
      </c>
      <c r="F56" s="82">
        <v>4.18</v>
      </c>
      <c r="G56" s="257" t="str">
        <f t="shared" si="54"/>
        <v xml:space="preserve"> -</v>
      </c>
      <c r="H56" s="257" t="str">
        <f t="shared" si="55"/>
        <v xml:space="preserve"> -</v>
      </c>
      <c r="I56" s="257" t="str">
        <f t="shared" si="56"/>
        <v>-</v>
      </c>
      <c r="J56" s="257" t="str">
        <f t="shared" si="57"/>
        <v>-</v>
      </c>
      <c r="K56" s="257" t="str">
        <f t="shared" si="58"/>
        <v>-</v>
      </c>
      <c r="L56" s="257">
        <f t="shared" si="59"/>
        <v>1074.26</v>
      </c>
      <c r="M56" s="257" t="str">
        <f t="shared" si="60"/>
        <v>-</v>
      </c>
      <c r="N56" s="257" t="str">
        <f t="shared" si="61"/>
        <v>-</v>
      </c>
      <c r="O56" s="257" t="str">
        <f t="shared" si="62"/>
        <v>-</v>
      </c>
      <c r="P56" s="1"/>
    </row>
    <row r="57" spans="1:16" ht="20.100000000000001" customHeight="1">
      <c r="A57" s="258"/>
      <c r="B57" s="255"/>
      <c r="C57" s="260"/>
      <c r="D57" s="261"/>
      <c r="E57" s="262"/>
      <c r="F57" s="262"/>
      <c r="G57" s="263">
        <f t="shared" ref="G57:O57" si="63">SUM(G11:G56)</f>
        <v>0</v>
      </c>
      <c r="H57" s="263">
        <f t="shared" si="63"/>
        <v>1161.9680000000001</v>
      </c>
      <c r="I57" s="263">
        <f t="shared" si="63"/>
        <v>29.8</v>
      </c>
      <c r="J57" s="263">
        <f t="shared" si="63"/>
        <v>0</v>
      </c>
      <c r="K57" s="263">
        <f t="shared" si="63"/>
        <v>8848.7300000000014</v>
      </c>
      <c r="L57" s="263">
        <f t="shared" si="63"/>
        <v>1226.0899999999999</v>
      </c>
      <c r="M57" s="263">
        <f t="shared" si="63"/>
        <v>104.59399999999999</v>
      </c>
      <c r="N57" s="263">
        <f t="shared" si="63"/>
        <v>0</v>
      </c>
      <c r="O57" s="263">
        <f t="shared" si="63"/>
        <v>296.91199999999998</v>
      </c>
      <c r="P57" s="1"/>
    </row>
    <row r="58" spans="1:16" ht="20.100000000000001" customHeight="1">
      <c r="A58" s="258"/>
      <c r="B58" s="255"/>
      <c r="C58" s="260"/>
      <c r="D58" s="261"/>
      <c r="E58" s="262"/>
      <c r="F58" s="262"/>
      <c r="G58" s="263"/>
      <c r="H58" s="263"/>
      <c r="I58" s="263"/>
      <c r="J58" s="263"/>
      <c r="K58" s="263"/>
      <c r="L58" s="263"/>
      <c r="M58" s="263"/>
      <c r="N58" s="263"/>
      <c r="O58" s="263"/>
      <c r="P58" s="1"/>
    </row>
    <row r="59" spans="1:16" ht="20.100000000000001" customHeight="1">
      <c r="A59" s="258"/>
      <c r="B59" s="255"/>
      <c r="C59" s="264" t="s">
        <v>185</v>
      </c>
      <c r="D59" s="261"/>
      <c r="E59" s="262"/>
      <c r="F59" s="262"/>
      <c r="G59" s="265">
        <v>0.39500000000000002</v>
      </c>
      <c r="H59" s="265">
        <v>0.61699999999999999</v>
      </c>
      <c r="I59" s="265">
        <v>0.88800000000000001</v>
      </c>
      <c r="J59" s="266">
        <v>1.5780000000000001</v>
      </c>
      <c r="K59" s="266">
        <v>2.4660000000000002</v>
      </c>
      <c r="L59" s="266">
        <v>3.8530000000000002</v>
      </c>
      <c r="M59" s="266">
        <v>4.8339999999999996</v>
      </c>
      <c r="N59" s="266">
        <v>6.3129999999999997</v>
      </c>
      <c r="O59" s="266">
        <v>7.99</v>
      </c>
      <c r="P59" s="1"/>
    </row>
    <row r="60" spans="1:16" ht="20.100000000000001" customHeight="1">
      <c r="A60" s="258"/>
      <c r="B60" s="255"/>
      <c r="C60" s="264" t="s">
        <v>186</v>
      </c>
      <c r="D60" s="261"/>
      <c r="E60" s="262"/>
      <c r="F60" s="262"/>
      <c r="G60" s="267">
        <f t="shared" ref="G60:O60" si="64">ROUND(G59*G57,3)</f>
        <v>0</v>
      </c>
      <c r="H60" s="267">
        <f t="shared" si="64"/>
        <v>716.93399999999997</v>
      </c>
      <c r="I60" s="267">
        <f t="shared" si="64"/>
        <v>26.462</v>
      </c>
      <c r="J60" s="267">
        <f t="shared" si="64"/>
        <v>0</v>
      </c>
      <c r="K60" s="267">
        <f t="shared" si="64"/>
        <v>21820.968000000001</v>
      </c>
      <c r="L60" s="267">
        <f t="shared" si="64"/>
        <v>4724.125</v>
      </c>
      <c r="M60" s="267">
        <f t="shared" si="64"/>
        <v>505.60700000000003</v>
      </c>
      <c r="N60" s="267">
        <f t="shared" si="64"/>
        <v>0</v>
      </c>
      <c r="O60" s="267">
        <f t="shared" si="64"/>
        <v>2372.3270000000002</v>
      </c>
      <c r="P60" s="1"/>
    </row>
    <row r="61" spans="1:16" ht="45">
      <c r="A61" s="258"/>
      <c r="B61" s="274" t="s">
        <v>187</v>
      </c>
      <c r="C61" s="275" t="s">
        <v>188</v>
      </c>
      <c r="D61" s="254"/>
      <c r="E61" s="268"/>
      <c r="F61" s="281">
        <f>SUM(G60:K60)</f>
        <v>22564.364000000001</v>
      </c>
      <c r="G61" s="89" t="s">
        <v>189</v>
      </c>
      <c r="H61" s="282"/>
      <c r="I61" s="255"/>
      <c r="J61" s="255"/>
      <c r="K61" s="255"/>
      <c r="L61" s="255"/>
      <c r="M61" s="255"/>
      <c r="N61" s="255"/>
      <c r="O61" s="255"/>
      <c r="P61" s="1"/>
    </row>
    <row r="62" spans="1:16" ht="20.100000000000001" customHeight="1">
      <c r="A62" s="258"/>
      <c r="B62" s="255"/>
      <c r="C62" s="269"/>
      <c r="D62" s="254"/>
      <c r="E62" s="255"/>
      <c r="F62" s="254"/>
      <c r="G62" s="89">
        <f>F61/1000</f>
        <v>22.564364000000001</v>
      </c>
      <c r="H62" s="89" t="s">
        <v>190</v>
      </c>
      <c r="I62" s="86" t="s">
        <v>203</v>
      </c>
      <c r="J62" s="255"/>
      <c r="K62" s="255"/>
      <c r="L62" s="255"/>
      <c r="M62" s="255"/>
      <c r="N62" s="255"/>
      <c r="O62" s="255"/>
      <c r="P62" s="1"/>
    </row>
    <row r="63" spans="1:16" ht="45">
      <c r="A63" s="258"/>
      <c r="B63" s="273" t="s">
        <v>191</v>
      </c>
      <c r="C63" s="133" t="s">
        <v>192</v>
      </c>
      <c r="D63" s="254"/>
      <c r="E63" s="255"/>
      <c r="F63" s="281">
        <f>SUM(L60:O60)</f>
        <v>7602.0590000000002</v>
      </c>
      <c r="G63" s="89" t="s">
        <v>189</v>
      </c>
      <c r="H63" s="282"/>
      <c r="I63" s="255"/>
      <c r="J63" s="255"/>
      <c r="K63" s="255"/>
      <c r="L63" s="255"/>
      <c r="M63" s="255"/>
      <c r="N63" s="255"/>
      <c r="O63" s="255"/>
      <c r="P63" s="1"/>
    </row>
    <row r="64" spans="1:16" ht="20.100000000000001" customHeight="1" thickBot="1">
      <c r="A64" s="270"/>
      <c r="B64" s="271"/>
      <c r="C64" s="271"/>
      <c r="D64" s="272"/>
      <c r="E64" s="271"/>
      <c r="F64" s="272"/>
      <c r="G64" s="280">
        <f>F63/1000</f>
        <v>7.6020590000000006</v>
      </c>
      <c r="H64" s="280" t="s">
        <v>190</v>
      </c>
      <c r="I64" s="86" t="s">
        <v>203</v>
      </c>
      <c r="J64" s="271"/>
      <c r="K64" s="271"/>
      <c r="L64" s="271"/>
      <c r="M64" s="271"/>
      <c r="N64" s="271"/>
      <c r="O64" s="271"/>
      <c r="P64" s="1"/>
    </row>
    <row r="65" spans="1:16" ht="20.100000000000001" customHeight="1">
      <c r="A65" s="1"/>
      <c r="B65" s="1"/>
      <c r="C65" s="113"/>
      <c r="D65" s="110"/>
      <c r="E65" s="110"/>
      <c r="F65" s="108"/>
      <c r="G65" s="112"/>
      <c r="H65" s="106"/>
      <c r="I65" s="112"/>
      <c r="J65" s="112"/>
      <c r="K65" s="112"/>
      <c r="L65" s="112"/>
      <c r="M65" s="112"/>
      <c r="N65" s="112"/>
      <c r="O65" s="106"/>
      <c r="P65" s="1"/>
    </row>
    <row r="66" spans="1:16" ht="20.100000000000001" customHeight="1">
      <c r="A66" s="1"/>
      <c r="B66" s="1"/>
      <c r="C66" s="113"/>
      <c r="D66" s="110"/>
      <c r="E66" s="110"/>
      <c r="F66" s="111"/>
      <c r="G66" s="112"/>
      <c r="H66" s="106"/>
      <c r="I66" s="112"/>
      <c r="J66" s="112"/>
      <c r="K66" s="112"/>
      <c r="L66" s="112"/>
      <c r="M66" s="112"/>
      <c r="N66" s="112"/>
      <c r="O66" s="106"/>
      <c r="P66" s="1"/>
    </row>
    <row r="67" spans="1:16" ht="20.100000000000001" customHeight="1">
      <c r="A67" s="1"/>
      <c r="B67" s="1"/>
      <c r="C67" s="113"/>
      <c r="D67" s="110"/>
      <c r="E67" s="110"/>
      <c r="F67" s="107"/>
      <c r="G67" s="112"/>
      <c r="H67" s="106"/>
      <c r="I67" s="112"/>
      <c r="J67" s="112"/>
      <c r="K67" s="112"/>
      <c r="L67" s="112"/>
      <c r="M67" s="112"/>
      <c r="N67" s="112"/>
      <c r="O67" s="106"/>
      <c r="P67" s="1"/>
    </row>
    <row r="68" spans="1:16" ht="20.100000000000001" customHeight="1">
      <c r="A68" s="1"/>
      <c r="B68" s="1"/>
      <c r="C68" s="113"/>
      <c r="D68" s="110"/>
      <c r="E68" s="110"/>
      <c r="F68" s="111"/>
      <c r="G68" s="112"/>
      <c r="H68" s="106"/>
      <c r="I68" s="112"/>
      <c r="J68" s="112"/>
      <c r="K68" s="112"/>
      <c r="L68" s="112"/>
      <c r="M68" s="112"/>
      <c r="N68" s="112"/>
      <c r="O68" s="106"/>
      <c r="P68" s="1"/>
    </row>
    <row r="69" spans="1:16" ht="27" customHeight="1">
      <c r="A69" s="1"/>
      <c r="B69" s="1"/>
      <c r="C69" s="113"/>
      <c r="D69" s="110"/>
      <c r="E69" s="110"/>
      <c r="F69" s="111"/>
      <c r="G69" s="112"/>
      <c r="H69" s="112"/>
      <c r="I69" s="106"/>
      <c r="J69" s="112"/>
      <c r="K69" s="112"/>
      <c r="L69" s="112"/>
      <c r="M69" s="112"/>
      <c r="N69" s="112"/>
      <c r="O69" s="106"/>
      <c r="P69" s="1"/>
    </row>
    <row r="70" spans="1:16" ht="20.100000000000001" customHeight="1">
      <c r="A70" s="1"/>
      <c r="B70" s="1"/>
      <c r="C70" s="135"/>
      <c r="D70" s="105"/>
      <c r="E70" s="85"/>
      <c r="F70" s="109"/>
      <c r="G70" s="103"/>
      <c r="H70" s="88"/>
      <c r="I70" s="88"/>
      <c r="J70" s="88"/>
      <c r="K70" s="88"/>
      <c r="L70" s="88"/>
      <c r="M70" s="88"/>
      <c r="N70" s="88"/>
      <c r="O70" s="88"/>
      <c r="P70" s="1"/>
    </row>
    <row r="71" spans="1:16" ht="20.100000000000001" customHeight="1">
      <c r="A71" s="1"/>
      <c r="B71" s="1"/>
      <c r="C71" s="135"/>
      <c r="D71" s="105"/>
      <c r="E71" s="85"/>
      <c r="F71" s="109"/>
      <c r="G71" s="103"/>
      <c r="H71" s="88"/>
      <c r="I71" s="88"/>
      <c r="J71" s="88"/>
      <c r="K71" s="88"/>
      <c r="L71" s="88"/>
      <c r="M71" s="88"/>
      <c r="N71" s="88"/>
      <c r="O71" s="88"/>
      <c r="P71" s="1"/>
    </row>
    <row r="72" spans="1:16" ht="20.100000000000001" customHeight="1">
      <c r="A72" s="1"/>
      <c r="B72" s="1"/>
      <c r="C72" s="134"/>
      <c r="D72" s="110"/>
      <c r="E72" s="110"/>
      <c r="F72" s="111"/>
      <c r="G72" s="112"/>
      <c r="H72" s="112"/>
      <c r="I72" s="106"/>
      <c r="J72" s="112"/>
      <c r="K72" s="112"/>
      <c r="L72" s="112"/>
      <c r="M72" s="112"/>
      <c r="N72" s="112"/>
      <c r="O72" s="106"/>
      <c r="P72" s="1"/>
    </row>
    <row r="73" spans="1:16" ht="20.100000000000001" customHeight="1">
      <c r="A73" s="1"/>
      <c r="B73" s="1"/>
      <c r="C73" s="113"/>
      <c r="D73" s="110"/>
      <c r="E73" s="110"/>
      <c r="F73" s="111"/>
      <c r="G73" s="112"/>
      <c r="H73" s="112"/>
      <c r="I73" s="112"/>
      <c r="J73" s="112"/>
      <c r="K73" s="112"/>
      <c r="L73" s="112"/>
      <c r="M73" s="112"/>
      <c r="N73" s="112"/>
      <c r="O73" s="106"/>
      <c r="P73" s="1"/>
    </row>
    <row r="74" spans="1:16" ht="23.45" customHeight="1">
      <c r="A74" s="1"/>
      <c r="B74" s="1"/>
      <c r="C74" s="113"/>
      <c r="D74" s="110"/>
      <c r="E74" s="110"/>
      <c r="F74" s="111"/>
      <c r="G74" s="112"/>
      <c r="H74" s="106"/>
      <c r="I74" s="112"/>
      <c r="J74" s="112"/>
      <c r="K74" s="112"/>
      <c r="L74" s="112"/>
      <c r="M74" s="112"/>
      <c r="N74" s="112"/>
      <c r="O74" s="106"/>
      <c r="P74" s="1"/>
    </row>
    <row r="75" spans="1:16" ht="23.45" customHeight="1">
      <c r="A75" s="1"/>
      <c r="B75" s="1"/>
      <c r="C75" s="113"/>
      <c r="D75" s="110"/>
      <c r="E75" s="110"/>
      <c r="F75" s="108"/>
      <c r="G75" s="112"/>
      <c r="H75" s="106"/>
      <c r="I75" s="112"/>
      <c r="J75" s="112"/>
      <c r="K75" s="112"/>
      <c r="L75" s="112"/>
      <c r="M75" s="112"/>
      <c r="N75" s="112"/>
      <c r="O75" s="106"/>
      <c r="P75" s="1"/>
    </row>
    <row r="76" spans="1:16" ht="23.45" customHeight="1">
      <c r="A76" s="1"/>
      <c r="B76" s="1"/>
      <c r="C76" s="113"/>
      <c r="D76" s="110"/>
      <c r="E76" s="110"/>
      <c r="F76" s="111"/>
      <c r="G76" s="112"/>
      <c r="H76" s="106"/>
      <c r="I76" s="112"/>
      <c r="J76" s="112"/>
      <c r="K76" s="112"/>
      <c r="L76" s="112"/>
      <c r="M76" s="112"/>
      <c r="N76" s="112"/>
      <c r="O76" s="106"/>
      <c r="P76" s="1"/>
    </row>
    <row r="77" spans="1:16" ht="23.45" customHeight="1">
      <c r="A77" s="1"/>
      <c r="B77" s="1"/>
      <c r="C77" s="113"/>
      <c r="D77" s="110"/>
      <c r="E77" s="110"/>
      <c r="F77" s="107"/>
      <c r="G77" s="112"/>
      <c r="H77" s="106"/>
      <c r="I77" s="112"/>
      <c r="J77" s="112"/>
      <c r="K77" s="112"/>
      <c r="L77" s="112"/>
      <c r="M77" s="112"/>
      <c r="N77" s="112"/>
      <c r="O77" s="106"/>
      <c r="P77" s="1"/>
    </row>
    <row r="78" spans="1:16" ht="23.45" customHeight="1">
      <c r="A78" s="1"/>
      <c r="B78" s="1"/>
      <c r="C78" s="113"/>
      <c r="D78" s="110"/>
      <c r="E78" s="110"/>
      <c r="F78" s="111"/>
      <c r="G78" s="112"/>
      <c r="H78" s="106"/>
      <c r="I78" s="112"/>
      <c r="J78" s="112"/>
      <c r="K78" s="112"/>
      <c r="L78" s="112"/>
      <c r="M78" s="112"/>
      <c r="N78" s="112"/>
      <c r="O78" s="106"/>
      <c r="P78" s="1"/>
    </row>
    <row r="79" spans="1:16" ht="33" customHeight="1">
      <c r="A79" s="1"/>
      <c r="B79" s="1"/>
      <c r="C79" s="113"/>
      <c r="D79" s="110"/>
      <c r="E79" s="110"/>
      <c r="F79" s="111"/>
      <c r="G79" s="112"/>
      <c r="H79" s="112"/>
      <c r="I79" s="106"/>
      <c r="J79" s="112"/>
      <c r="K79" s="112"/>
      <c r="L79" s="112"/>
      <c r="M79" s="112"/>
      <c r="N79" s="112"/>
      <c r="O79" s="106"/>
      <c r="P79" s="1"/>
    </row>
    <row r="80" spans="1:16" ht="20.100000000000001" customHeight="1">
      <c r="A80" s="1"/>
      <c r="B80" s="1"/>
      <c r="C80" s="134"/>
      <c r="D80" s="110"/>
      <c r="E80" s="110"/>
      <c r="F80" s="111"/>
      <c r="G80" s="112"/>
      <c r="H80" s="112"/>
      <c r="I80" s="106"/>
      <c r="J80" s="112"/>
      <c r="K80" s="112"/>
      <c r="L80" s="112"/>
      <c r="M80" s="112"/>
      <c r="N80" s="112"/>
      <c r="O80" s="106"/>
      <c r="P80" s="1"/>
    </row>
    <row r="81" spans="1:16" ht="27.6" customHeight="1">
      <c r="A81" s="1"/>
      <c r="B81" s="1"/>
      <c r="C81" s="113"/>
      <c r="D81" s="110"/>
      <c r="E81" s="110"/>
      <c r="F81" s="111"/>
      <c r="G81" s="112"/>
      <c r="H81" s="112"/>
      <c r="I81" s="112"/>
      <c r="J81" s="112"/>
      <c r="K81" s="112"/>
      <c r="L81" s="112"/>
      <c r="M81" s="112"/>
      <c r="N81" s="112"/>
      <c r="O81" s="106"/>
      <c r="P81" s="1"/>
    </row>
    <row r="82" spans="1:16" ht="22.15" customHeight="1">
      <c r="A82" s="1"/>
      <c r="B82" s="1"/>
      <c r="C82" s="113"/>
      <c r="D82" s="110"/>
      <c r="E82" s="110"/>
      <c r="F82" s="111"/>
      <c r="G82" s="112"/>
      <c r="H82" s="106"/>
      <c r="I82" s="112"/>
      <c r="J82" s="112"/>
      <c r="K82" s="112"/>
      <c r="L82" s="112"/>
      <c r="M82" s="112"/>
      <c r="N82" s="112"/>
      <c r="O82" s="106"/>
      <c r="P82" s="1"/>
    </row>
    <row r="83" spans="1:16" ht="22.15" customHeight="1">
      <c r="A83" s="1"/>
      <c r="B83" s="1"/>
      <c r="C83" s="113"/>
      <c r="D83" s="110"/>
      <c r="E83" s="110"/>
      <c r="F83" s="108"/>
      <c r="G83" s="112"/>
      <c r="H83" s="106"/>
      <c r="I83" s="112"/>
      <c r="J83" s="112"/>
      <c r="K83" s="112"/>
      <c r="L83" s="112"/>
      <c r="M83" s="112"/>
      <c r="N83" s="112"/>
      <c r="O83" s="106"/>
      <c r="P83" s="1"/>
    </row>
    <row r="84" spans="1:16" ht="22.15" customHeight="1">
      <c r="A84" s="1"/>
      <c r="B84" s="1"/>
      <c r="C84" s="113"/>
      <c r="D84" s="110"/>
      <c r="E84" s="110"/>
      <c r="F84" s="107"/>
      <c r="G84" s="112"/>
      <c r="H84" s="106"/>
      <c r="I84" s="112"/>
      <c r="J84" s="112"/>
      <c r="K84" s="112"/>
      <c r="L84" s="112"/>
      <c r="M84" s="112"/>
      <c r="N84" s="112"/>
      <c r="O84" s="106"/>
      <c r="P84" s="1"/>
    </row>
    <row r="85" spans="1:16" ht="22.15" customHeight="1">
      <c r="A85" s="1"/>
      <c r="B85" s="1"/>
      <c r="C85" s="134"/>
      <c r="D85" s="110"/>
      <c r="E85" s="110"/>
      <c r="F85" s="111"/>
      <c r="G85" s="112"/>
      <c r="H85" s="106"/>
      <c r="I85" s="106"/>
      <c r="J85" s="112"/>
      <c r="K85" s="112"/>
      <c r="L85" s="112"/>
      <c r="M85" s="112"/>
      <c r="N85" s="112"/>
      <c r="O85" s="106"/>
      <c r="P85" s="1"/>
    </row>
    <row r="86" spans="1:16" ht="28.9" customHeight="1">
      <c r="A86" s="1"/>
      <c r="B86" s="1"/>
      <c r="C86" s="113"/>
      <c r="D86" s="110"/>
      <c r="E86" s="110"/>
      <c r="F86" s="111"/>
      <c r="G86" s="112"/>
      <c r="H86" s="112"/>
      <c r="I86" s="106"/>
      <c r="J86" s="112"/>
      <c r="K86" s="112"/>
      <c r="L86" s="112"/>
      <c r="M86" s="112"/>
      <c r="N86" s="112"/>
      <c r="O86" s="106"/>
      <c r="P86" s="1"/>
    </row>
    <row r="87" spans="1:16" ht="22.9" customHeight="1">
      <c r="A87" s="1"/>
      <c r="B87" s="1"/>
      <c r="C87" s="113"/>
      <c r="D87" s="110"/>
      <c r="E87" s="110"/>
      <c r="F87" s="111"/>
      <c r="G87" s="112"/>
      <c r="H87" s="112"/>
      <c r="I87" s="106"/>
      <c r="J87" s="112"/>
      <c r="K87" s="112"/>
      <c r="L87" s="112"/>
      <c r="M87" s="112"/>
      <c r="N87" s="112"/>
      <c r="O87" s="112"/>
      <c r="P87" s="1"/>
    </row>
    <row r="88" spans="1:16" ht="23.45" customHeight="1">
      <c r="A88" s="1"/>
      <c r="B88" s="1"/>
      <c r="C88" s="135"/>
      <c r="D88" s="105"/>
      <c r="E88" s="85"/>
      <c r="F88" s="109"/>
      <c r="G88" s="103"/>
      <c r="H88" s="88"/>
      <c r="I88" s="88"/>
      <c r="J88" s="88"/>
      <c r="K88" s="88"/>
      <c r="L88" s="88"/>
      <c r="M88" s="88"/>
      <c r="N88" s="88"/>
      <c r="O88" s="88"/>
      <c r="P88" s="1"/>
    </row>
    <row r="89" spans="1:16" ht="23.45" customHeight="1">
      <c r="A89" s="1"/>
      <c r="B89" s="1"/>
      <c r="C89" s="135"/>
      <c r="D89" s="105"/>
      <c r="E89" s="85"/>
      <c r="F89" s="109"/>
      <c r="G89" s="103"/>
      <c r="H89" s="88"/>
      <c r="I89" s="88"/>
      <c r="J89" s="88"/>
      <c r="K89" s="88"/>
      <c r="L89" s="88"/>
      <c r="M89" s="88"/>
      <c r="N89" s="88"/>
      <c r="O89" s="88"/>
      <c r="P89" s="1"/>
    </row>
    <row r="90" spans="1:16" ht="20.100000000000001" customHeight="1">
      <c r="A90" s="1"/>
      <c r="B90" s="1"/>
      <c r="C90" s="134"/>
      <c r="D90" s="110"/>
      <c r="E90" s="110"/>
      <c r="F90" s="111"/>
      <c r="G90" s="112"/>
      <c r="H90" s="112"/>
      <c r="I90" s="106"/>
      <c r="J90" s="112"/>
      <c r="K90" s="112"/>
      <c r="L90" s="112"/>
      <c r="M90" s="112"/>
      <c r="N90" s="112"/>
      <c r="O90" s="112"/>
      <c r="P90" s="1"/>
    </row>
    <row r="91" spans="1:16" ht="29.45" customHeight="1">
      <c r="A91" s="1"/>
      <c r="B91" s="1"/>
      <c r="C91" s="113"/>
      <c r="D91" s="110"/>
      <c r="E91" s="110"/>
      <c r="F91" s="111"/>
      <c r="G91" s="112"/>
      <c r="H91" s="112"/>
      <c r="I91" s="106"/>
      <c r="J91" s="112"/>
      <c r="K91" s="112"/>
      <c r="L91" s="112"/>
      <c r="M91" s="112"/>
      <c r="N91" s="106"/>
      <c r="O91" s="112"/>
      <c r="P91" s="1"/>
    </row>
    <row r="92" spans="1:16" ht="23.45" customHeight="1">
      <c r="A92" s="1"/>
      <c r="B92" s="1"/>
      <c r="C92" s="113"/>
      <c r="D92" s="110"/>
      <c r="E92" s="110"/>
      <c r="F92" s="111"/>
      <c r="G92" s="112"/>
      <c r="H92" s="112"/>
      <c r="I92" s="106"/>
      <c r="J92" s="112"/>
      <c r="K92" s="112"/>
      <c r="L92" s="112"/>
      <c r="M92" s="112"/>
      <c r="N92" s="112"/>
      <c r="O92" s="112"/>
      <c r="P92" s="1"/>
    </row>
    <row r="93" spans="1:16" ht="23.45" customHeight="1">
      <c r="A93" s="1"/>
      <c r="B93" s="1"/>
      <c r="C93" s="134"/>
      <c r="D93" s="110"/>
      <c r="E93" s="110"/>
      <c r="F93" s="111"/>
      <c r="G93" s="112"/>
      <c r="H93" s="112"/>
      <c r="I93" s="106"/>
      <c r="J93" s="112"/>
      <c r="K93" s="112"/>
      <c r="L93" s="112"/>
      <c r="M93" s="112"/>
      <c r="N93" s="112"/>
      <c r="O93" s="112"/>
      <c r="P93" s="1"/>
    </row>
    <row r="94" spans="1:16" ht="32.450000000000003" customHeight="1">
      <c r="A94" s="1"/>
      <c r="B94" s="1"/>
      <c r="C94" s="113"/>
      <c r="D94" s="110"/>
      <c r="E94" s="110"/>
      <c r="F94" s="111"/>
      <c r="G94" s="112"/>
      <c r="H94" s="112"/>
      <c r="I94" s="112"/>
      <c r="J94" s="112"/>
      <c r="K94" s="112"/>
      <c r="L94" s="112"/>
      <c r="M94" s="112"/>
      <c r="N94" s="112"/>
      <c r="O94" s="106"/>
      <c r="P94" s="1"/>
    </row>
    <row r="95" spans="1:16" ht="20.100000000000001" customHeight="1">
      <c r="A95" s="1"/>
      <c r="B95" s="1"/>
      <c r="C95" s="113"/>
      <c r="D95" s="110"/>
      <c r="E95" s="110"/>
      <c r="F95" s="111"/>
      <c r="G95" s="112"/>
      <c r="H95" s="112"/>
      <c r="I95" s="112"/>
      <c r="J95" s="112"/>
      <c r="K95" s="112"/>
      <c r="L95" s="106"/>
      <c r="M95" s="112"/>
      <c r="N95" s="112"/>
      <c r="O95" s="112"/>
      <c r="P95" s="1"/>
    </row>
    <row r="96" spans="1:16" ht="20.100000000000001" customHeight="1">
      <c r="A96" s="1"/>
      <c r="B96" s="1"/>
      <c r="C96" s="114"/>
      <c r="D96" s="115"/>
      <c r="E96" s="115"/>
      <c r="F96" s="115"/>
      <c r="G96" s="116"/>
      <c r="H96" s="117"/>
      <c r="I96" s="117"/>
      <c r="J96" s="117"/>
      <c r="K96" s="117"/>
      <c r="L96" s="117"/>
      <c r="M96" s="117"/>
      <c r="N96" s="117"/>
      <c r="O96" s="117"/>
      <c r="P96" s="118"/>
    </row>
    <row r="97" spans="1:16" ht="20.100000000000001" customHeight="1">
      <c r="A97" s="1"/>
      <c r="B97" s="1"/>
      <c r="C97" s="119"/>
      <c r="D97" s="115"/>
      <c r="E97" s="115"/>
      <c r="F97" s="115"/>
      <c r="G97" s="118"/>
      <c r="H97" s="118"/>
      <c r="I97" s="118"/>
      <c r="J97" s="118"/>
      <c r="K97" s="118"/>
      <c r="L97" s="118"/>
      <c r="M97" s="118"/>
      <c r="N97" s="118"/>
      <c r="O97" s="118"/>
      <c r="P97" s="118"/>
    </row>
    <row r="98" spans="1:16" ht="20.100000000000001" customHeight="1">
      <c r="A98" s="1"/>
      <c r="B98" s="1"/>
      <c r="C98" s="120"/>
      <c r="D98" s="115"/>
      <c r="E98" s="115"/>
      <c r="F98" s="115"/>
      <c r="G98" s="121"/>
      <c r="H98" s="121"/>
      <c r="I98" s="121"/>
      <c r="J98" s="122"/>
      <c r="K98" s="122"/>
      <c r="L98" s="122"/>
      <c r="M98" s="122"/>
      <c r="N98" s="122"/>
      <c r="O98" s="122"/>
      <c r="P98" s="122"/>
    </row>
    <row r="99" spans="1:16" s="126" customFormat="1" ht="20.100000000000001" customHeight="1">
      <c r="A99" s="123"/>
      <c r="B99" s="123"/>
      <c r="C99" s="120"/>
      <c r="D99" s="124"/>
      <c r="E99" s="124"/>
      <c r="F99" s="124"/>
      <c r="G99" s="125"/>
      <c r="H99" s="125"/>
      <c r="I99" s="125"/>
      <c r="J99" s="125"/>
      <c r="K99" s="125"/>
      <c r="L99" s="125"/>
      <c r="M99" s="125"/>
      <c r="N99" s="125"/>
      <c r="O99" s="125"/>
      <c r="P99" s="125"/>
    </row>
    <row r="100" spans="1:16">
      <c r="A100" s="1"/>
      <c r="B100" s="87"/>
      <c r="C100" s="32"/>
      <c r="D100" s="101"/>
      <c r="F100" s="128"/>
      <c r="G100" s="89"/>
      <c r="H100" s="1"/>
      <c r="I100" s="1"/>
      <c r="J100" s="1"/>
      <c r="K100" s="1"/>
      <c r="L100" s="1"/>
      <c r="M100" s="1"/>
      <c r="N100" s="1"/>
      <c r="O100" s="1"/>
      <c r="P100" s="1"/>
    </row>
    <row r="101" spans="1:16" ht="20.100000000000001" customHeight="1">
      <c r="A101" s="1"/>
      <c r="B101" s="87"/>
      <c r="C101" s="32"/>
      <c r="D101" s="101"/>
      <c r="E101" s="102"/>
      <c r="F101" s="90"/>
      <c r="G101" s="89"/>
      <c r="H101" s="86"/>
      <c r="I101" s="1"/>
      <c r="J101" s="1"/>
      <c r="K101" s="1"/>
      <c r="L101" s="1"/>
      <c r="M101" s="1"/>
      <c r="N101" s="1"/>
      <c r="O101" s="1"/>
      <c r="P101" s="1"/>
    </row>
    <row r="102" spans="1:16">
      <c r="A102" s="1"/>
      <c r="B102" s="87"/>
      <c r="C102" s="32"/>
      <c r="D102" s="101"/>
      <c r="E102" s="102"/>
      <c r="F102" s="128"/>
      <c r="G102" s="89"/>
      <c r="H102" s="1"/>
      <c r="I102" s="1"/>
      <c r="J102" s="1"/>
      <c r="K102" s="1"/>
      <c r="L102" s="1"/>
      <c r="M102" s="1"/>
      <c r="N102" s="1"/>
      <c r="O102" s="1"/>
      <c r="P102" s="1"/>
    </row>
    <row r="103" spans="1:16" ht="20.100000000000001" customHeight="1">
      <c r="A103" s="1"/>
      <c r="B103" s="1"/>
      <c r="C103" s="132"/>
      <c r="D103" s="101"/>
      <c r="E103" s="102"/>
      <c r="F103" s="90"/>
      <c r="G103" s="89"/>
      <c r="H103" s="86"/>
      <c r="I103" s="1"/>
      <c r="J103" s="1"/>
      <c r="K103" s="1"/>
      <c r="L103" s="1"/>
      <c r="M103" s="1"/>
      <c r="N103" s="1"/>
      <c r="O103" s="1"/>
      <c r="P103" s="1"/>
    </row>
    <row r="104" spans="1:16" ht="20.100000000000001" customHeight="1">
      <c r="A104" s="1"/>
      <c r="B104" s="1"/>
      <c r="C104" s="132"/>
      <c r="D104" s="101"/>
      <c r="E104" s="102"/>
      <c r="F104" s="102"/>
      <c r="G104" s="1"/>
      <c r="H104" s="103"/>
      <c r="I104" s="1"/>
      <c r="J104" s="1"/>
      <c r="K104" s="1"/>
      <c r="L104" s="1"/>
      <c r="M104" s="1"/>
      <c r="N104" s="1"/>
      <c r="O104" s="1"/>
      <c r="P104" s="1"/>
    </row>
    <row r="105" spans="1:16" ht="20.100000000000001" customHeight="1">
      <c r="A105" s="1"/>
      <c r="B105" s="1"/>
      <c r="C105" s="132"/>
      <c r="D105" s="101"/>
      <c r="E105" s="102"/>
      <c r="F105" s="102"/>
      <c r="G105" s="1"/>
      <c r="H105" s="103"/>
      <c r="I105" s="1"/>
      <c r="J105" s="1"/>
      <c r="K105" s="1"/>
      <c r="L105" s="1"/>
      <c r="M105" s="1"/>
      <c r="N105" s="1"/>
      <c r="O105" s="1"/>
      <c r="P105" s="1"/>
    </row>
    <row r="106" spans="1:16" ht="20.100000000000001" customHeight="1">
      <c r="A106" s="1"/>
      <c r="B106" s="1"/>
      <c r="C106" s="132"/>
      <c r="D106" s="101"/>
      <c r="E106" s="102"/>
      <c r="F106" s="102"/>
      <c r="G106" s="1"/>
      <c r="H106" s="103"/>
      <c r="I106" s="1"/>
      <c r="J106" s="1"/>
      <c r="K106" s="1"/>
      <c r="L106" s="1"/>
      <c r="M106" s="1"/>
      <c r="N106" s="1"/>
      <c r="O106" s="1"/>
      <c r="P106" s="1"/>
    </row>
    <row r="107" spans="1:16" ht="20.100000000000001" customHeight="1">
      <c r="A107" s="102"/>
      <c r="B107" s="102"/>
      <c r="C107" s="129"/>
      <c r="D107" s="101"/>
      <c r="E107" s="102"/>
      <c r="F107" s="91"/>
      <c r="G107" s="102"/>
      <c r="H107" s="102"/>
      <c r="I107" s="102"/>
      <c r="J107" s="102"/>
      <c r="K107" s="102"/>
      <c r="L107" s="102"/>
      <c r="M107" s="102"/>
      <c r="N107" s="102"/>
      <c r="O107" s="102"/>
      <c r="P107" s="102"/>
    </row>
    <row r="108" spans="1:16" ht="20.100000000000001" customHeight="1">
      <c r="A108" s="102"/>
      <c r="B108" s="102"/>
      <c r="C108" s="129"/>
      <c r="D108" s="101"/>
      <c r="E108" s="102"/>
      <c r="F108" s="102"/>
      <c r="G108" s="102"/>
      <c r="H108" s="102"/>
      <c r="I108" s="102"/>
      <c r="J108" s="102"/>
      <c r="K108" s="102"/>
      <c r="L108" s="102"/>
      <c r="M108" s="102"/>
      <c r="N108" s="102"/>
      <c r="O108" s="102"/>
      <c r="P108" s="102"/>
    </row>
    <row r="109" spans="1:16" ht="20.100000000000001" customHeight="1">
      <c r="A109" s="102"/>
      <c r="B109" s="102"/>
      <c r="C109" s="129"/>
      <c r="D109" s="101"/>
      <c r="E109" s="102"/>
      <c r="F109" s="30"/>
      <c r="G109" s="30"/>
      <c r="H109" s="30"/>
      <c r="I109" s="30"/>
      <c r="J109" s="30"/>
      <c r="K109" s="30"/>
      <c r="L109" s="30"/>
      <c r="M109" s="30"/>
      <c r="N109" s="30"/>
      <c r="O109" s="30"/>
      <c r="P109" s="102"/>
    </row>
    <row r="110" spans="1:16">
      <c r="A110" s="102"/>
      <c r="B110" s="102"/>
      <c r="C110" s="129"/>
      <c r="D110" s="101"/>
      <c r="E110" s="102"/>
      <c r="F110" s="30"/>
      <c r="G110" s="30"/>
      <c r="H110" s="30"/>
      <c r="I110" s="30"/>
      <c r="J110" s="30"/>
      <c r="K110" s="30"/>
      <c r="L110" s="30"/>
      <c r="M110" s="30"/>
      <c r="N110" s="30"/>
      <c r="O110" s="30"/>
      <c r="P110" s="102"/>
    </row>
    <row r="111" spans="1:16" ht="20.100000000000001" customHeight="1">
      <c r="A111" s="102"/>
      <c r="B111" s="102"/>
      <c r="C111" s="129"/>
      <c r="D111" s="101"/>
      <c r="E111" s="102"/>
      <c r="F111" s="102"/>
      <c r="G111" s="31"/>
      <c r="H111" s="31"/>
      <c r="I111" s="31"/>
      <c r="J111" s="31"/>
      <c r="K111" s="31"/>
      <c r="L111" s="31"/>
      <c r="M111" s="31"/>
      <c r="N111" s="31"/>
      <c r="O111" s="130"/>
      <c r="P111" s="102"/>
    </row>
    <row r="112" spans="1:16" ht="20.100000000000001" customHeight="1">
      <c r="A112" s="102"/>
      <c r="B112" s="102"/>
      <c r="C112" s="129"/>
      <c r="D112" s="101"/>
      <c r="E112" s="102"/>
      <c r="F112" s="36"/>
      <c r="G112" s="36"/>
      <c r="H112" s="36"/>
      <c r="I112" s="36"/>
      <c r="J112" s="36"/>
      <c r="K112" s="36"/>
      <c r="L112" s="36"/>
      <c r="M112" s="36"/>
      <c r="N112" s="36"/>
      <c r="O112" s="36"/>
      <c r="P112" s="102"/>
    </row>
    <row r="113" spans="1:16" ht="20.100000000000001" customHeight="1">
      <c r="A113" s="1"/>
      <c r="B113" s="1"/>
      <c r="C113" s="132"/>
      <c r="D113" s="101"/>
      <c r="E113" s="102"/>
      <c r="F113" s="102"/>
      <c r="G113" s="1"/>
      <c r="H113" s="1"/>
      <c r="I113" s="1"/>
      <c r="J113" s="1"/>
      <c r="K113" s="1"/>
      <c r="L113" s="1"/>
      <c r="M113" s="1"/>
      <c r="N113" s="1"/>
      <c r="O113" s="131"/>
      <c r="P113" s="1"/>
    </row>
    <row r="114" spans="1:16" ht="20.100000000000001" customHeight="1">
      <c r="A114" s="1"/>
      <c r="B114" s="1"/>
      <c r="C114" s="132"/>
      <c r="D114" s="101"/>
      <c r="E114" s="102"/>
      <c r="F114" s="102"/>
      <c r="G114" s="1"/>
      <c r="H114" s="1"/>
      <c r="I114" s="1"/>
      <c r="J114" s="1"/>
      <c r="K114" s="1"/>
      <c r="L114" s="1"/>
      <c r="M114" s="1"/>
      <c r="N114" s="1"/>
      <c r="O114" s="1"/>
      <c r="P114" s="1"/>
    </row>
    <row r="115" spans="1:16" ht="20.100000000000001" customHeight="1">
      <c r="A115" s="1"/>
      <c r="B115" s="1"/>
      <c r="C115" s="132"/>
      <c r="D115" s="101"/>
      <c r="E115" s="102"/>
      <c r="F115" s="102"/>
      <c r="G115" s="1"/>
      <c r="H115" s="1"/>
      <c r="I115" s="1"/>
      <c r="J115" s="1"/>
      <c r="K115" s="1"/>
      <c r="L115" s="1"/>
      <c r="M115" s="1"/>
      <c r="N115" s="1"/>
      <c r="O115" s="1"/>
      <c r="P115" s="1"/>
    </row>
    <row r="116" spans="1:16" ht="20.100000000000001" customHeight="1">
      <c r="A116" s="1"/>
      <c r="B116" s="1"/>
      <c r="C116" s="132"/>
      <c r="D116" s="101"/>
      <c r="E116" s="102"/>
      <c r="F116" s="102"/>
      <c r="G116" s="1"/>
      <c r="H116" s="1"/>
      <c r="I116" s="1"/>
      <c r="J116" s="1"/>
      <c r="K116" s="1"/>
      <c r="L116" s="1"/>
      <c r="M116" s="1"/>
      <c r="N116" s="1"/>
      <c r="O116" s="1"/>
      <c r="P116" s="1"/>
    </row>
    <row r="117" spans="1:16" ht="20.100000000000001" customHeight="1">
      <c r="A117" s="1"/>
      <c r="B117" s="1"/>
      <c r="C117" s="132"/>
      <c r="D117" s="101"/>
      <c r="E117" s="102"/>
      <c r="F117" s="102"/>
      <c r="G117" s="1"/>
      <c r="H117" s="1"/>
      <c r="I117" s="1"/>
      <c r="J117" s="1"/>
      <c r="K117" s="1"/>
      <c r="L117" s="1"/>
      <c r="M117" s="1"/>
      <c r="N117" s="1"/>
      <c r="O117" s="1"/>
      <c r="P117" s="1"/>
    </row>
    <row r="118" spans="1:16" ht="20.100000000000001" customHeight="1">
      <c r="A118" s="1"/>
      <c r="B118" s="1"/>
      <c r="C118" s="132"/>
      <c r="D118" s="101"/>
      <c r="E118" s="102"/>
      <c r="F118" s="102"/>
      <c r="G118" s="1"/>
      <c r="H118" s="1"/>
      <c r="I118" s="1"/>
      <c r="J118" s="1"/>
      <c r="K118" s="1"/>
      <c r="L118" s="1"/>
      <c r="M118" s="1"/>
      <c r="N118" s="1"/>
      <c r="O118" s="1"/>
      <c r="P118" s="1"/>
    </row>
    <row r="119" spans="1:16" ht="20.100000000000001" customHeight="1">
      <c r="A119" s="1"/>
      <c r="B119" s="1"/>
      <c r="C119" s="132"/>
      <c r="D119" s="101"/>
      <c r="E119" s="102"/>
      <c r="F119" s="102"/>
      <c r="G119" s="1"/>
      <c r="H119" s="1"/>
      <c r="I119" s="1"/>
      <c r="J119" s="1"/>
      <c r="K119" s="1"/>
      <c r="L119" s="1"/>
      <c r="M119" s="1"/>
      <c r="N119" s="1"/>
      <c r="O119" s="1"/>
      <c r="P119" s="1"/>
    </row>
    <row r="120" spans="1:16" ht="20.100000000000001" customHeight="1">
      <c r="A120" s="1"/>
      <c r="B120" s="1"/>
      <c r="C120" s="132"/>
      <c r="D120" s="101"/>
      <c r="E120" s="102"/>
      <c r="F120" s="102"/>
      <c r="G120" s="1"/>
      <c r="H120" s="1"/>
      <c r="I120" s="1"/>
      <c r="J120" s="1"/>
      <c r="K120" s="1"/>
      <c r="L120" s="1"/>
      <c r="M120" s="1"/>
      <c r="N120" s="1"/>
      <c r="O120" s="1"/>
      <c r="P120" s="1"/>
    </row>
    <row r="121" spans="1:16" ht="20.100000000000001" customHeight="1">
      <c r="A121" s="1"/>
      <c r="B121" s="1"/>
      <c r="C121" s="132"/>
      <c r="D121" s="101"/>
      <c r="E121" s="102"/>
      <c r="F121" s="102"/>
      <c r="G121" s="1"/>
      <c r="H121" s="1"/>
      <c r="I121" s="1"/>
      <c r="J121" s="1"/>
      <c r="K121" s="1"/>
      <c r="L121" s="1"/>
      <c r="M121" s="1"/>
      <c r="N121" s="1"/>
      <c r="O121" s="1"/>
      <c r="P121" s="1"/>
    </row>
    <row r="122" spans="1:16" ht="20.100000000000001" customHeight="1">
      <c r="A122" s="1"/>
      <c r="B122" s="1"/>
      <c r="C122" s="132"/>
      <c r="D122" s="101"/>
      <c r="E122" s="102"/>
      <c r="F122" s="102"/>
      <c r="G122" s="1"/>
      <c r="H122" s="1"/>
      <c r="I122" s="1"/>
      <c r="J122" s="1"/>
      <c r="K122" s="1"/>
      <c r="L122" s="1"/>
      <c r="M122" s="1"/>
      <c r="N122" s="1"/>
      <c r="O122" s="1"/>
      <c r="P122" s="1"/>
    </row>
    <row r="123" spans="1:16" ht="20.100000000000001" customHeight="1">
      <c r="A123" s="1"/>
      <c r="B123" s="1"/>
      <c r="C123" s="132"/>
      <c r="D123" s="101"/>
      <c r="E123" s="102"/>
      <c r="F123" s="102"/>
      <c r="G123" s="1"/>
      <c r="H123" s="1"/>
      <c r="I123" s="1"/>
      <c r="J123" s="1"/>
      <c r="K123" s="1"/>
      <c r="L123" s="1"/>
      <c r="M123" s="1"/>
      <c r="N123" s="1"/>
      <c r="O123" s="1"/>
      <c r="P123" s="1"/>
    </row>
    <row r="124" spans="1:16" ht="20.100000000000001" customHeight="1">
      <c r="A124" s="1"/>
      <c r="B124" s="1"/>
      <c r="C124" s="132"/>
      <c r="D124" s="101"/>
      <c r="E124" s="102"/>
      <c r="F124" s="102"/>
      <c r="G124" s="1"/>
      <c r="H124" s="1"/>
      <c r="I124" s="1"/>
      <c r="J124" s="1"/>
      <c r="K124" s="1"/>
      <c r="L124" s="1"/>
      <c r="M124" s="1"/>
      <c r="N124" s="1"/>
      <c r="O124" s="1"/>
      <c r="P124" s="1"/>
    </row>
    <row r="125" spans="1:16" ht="20.100000000000001" customHeight="1">
      <c r="A125" s="1"/>
      <c r="B125" s="1"/>
      <c r="C125" s="132"/>
      <c r="D125" s="101"/>
      <c r="E125" s="102"/>
      <c r="F125" s="102"/>
      <c r="G125" s="1"/>
      <c r="H125" s="1"/>
      <c r="I125" s="1"/>
      <c r="J125" s="1"/>
      <c r="K125" s="1"/>
      <c r="L125" s="1"/>
      <c r="M125" s="1"/>
      <c r="N125" s="1"/>
      <c r="O125" s="1"/>
      <c r="P125" s="1"/>
    </row>
    <row r="126" spans="1:16" ht="20.100000000000001" customHeight="1">
      <c r="A126" s="1"/>
      <c r="B126" s="1"/>
      <c r="C126" s="132"/>
      <c r="D126" s="101"/>
      <c r="E126" s="102"/>
      <c r="F126" s="102"/>
      <c r="G126" s="1"/>
      <c r="H126" s="1"/>
      <c r="I126" s="1"/>
      <c r="J126" s="1"/>
      <c r="K126" s="1"/>
      <c r="L126" s="1"/>
      <c r="M126" s="1"/>
      <c r="N126" s="1"/>
      <c r="O126" s="1"/>
      <c r="P126" s="1"/>
    </row>
    <row r="127" spans="1:16" ht="20.100000000000001" customHeight="1">
      <c r="A127" s="1"/>
      <c r="B127" s="1"/>
      <c r="C127" s="132"/>
      <c r="D127" s="101"/>
      <c r="E127" s="102"/>
      <c r="F127" s="102"/>
      <c r="G127" s="1"/>
      <c r="H127" s="1"/>
      <c r="I127" s="1"/>
      <c r="J127" s="1"/>
      <c r="K127" s="1"/>
      <c r="L127" s="1"/>
      <c r="M127" s="1"/>
      <c r="N127" s="1"/>
      <c r="O127" s="1"/>
      <c r="P127" s="1"/>
    </row>
    <row r="128" spans="1:16" ht="20.100000000000001" customHeight="1">
      <c r="A128" s="1"/>
      <c r="B128" s="1"/>
      <c r="C128" s="132"/>
      <c r="D128" s="101"/>
      <c r="E128" s="102"/>
      <c r="F128" s="102"/>
      <c r="G128" s="1"/>
      <c r="H128" s="1"/>
      <c r="I128" s="1"/>
      <c r="J128" s="1"/>
      <c r="K128" s="1"/>
      <c r="L128" s="1"/>
      <c r="M128" s="1"/>
      <c r="N128" s="1"/>
      <c r="O128" s="1"/>
      <c r="P128" s="1"/>
    </row>
    <row r="129" spans="1:16" ht="20.100000000000001" customHeight="1">
      <c r="A129" s="1"/>
      <c r="B129" s="1"/>
      <c r="C129" s="132"/>
      <c r="D129" s="101"/>
      <c r="E129" s="102"/>
      <c r="F129" s="102"/>
      <c r="G129" s="1"/>
      <c r="H129" s="1"/>
      <c r="I129" s="1"/>
      <c r="J129" s="1"/>
      <c r="K129" s="1"/>
      <c r="L129" s="1"/>
      <c r="M129" s="1"/>
      <c r="N129" s="1"/>
      <c r="O129" s="1"/>
      <c r="P129" s="1"/>
    </row>
    <row r="130" spans="1:16" ht="20.100000000000001" customHeight="1">
      <c r="A130" s="1"/>
      <c r="B130" s="1"/>
      <c r="C130" s="132"/>
      <c r="D130" s="101"/>
      <c r="E130" s="102"/>
      <c r="F130" s="102"/>
      <c r="G130" s="1"/>
      <c r="H130" s="1"/>
      <c r="I130" s="1"/>
      <c r="J130" s="1"/>
      <c r="K130" s="1"/>
      <c r="L130" s="1"/>
      <c r="M130" s="1"/>
      <c r="N130" s="1"/>
      <c r="O130" s="1"/>
      <c r="P130" s="1"/>
    </row>
    <row r="131" spans="1:16" ht="20.100000000000001" customHeight="1">
      <c r="A131" s="1"/>
      <c r="B131" s="1"/>
      <c r="C131" s="132"/>
      <c r="D131" s="101"/>
      <c r="E131" s="102"/>
      <c r="F131" s="102"/>
      <c r="G131" s="1"/>
      <c r="H131" s="1"/>
      <c r="I131" s="1"/>
      <c r="J131" s="1"/>
      <c r="K131" s="1"/>
      <c r="L131" s="1"/>
      <c r="M131" s="1"/>
      <c r="N131" s="1"/>
      <c r="O131" s="1"/>
      <c r="P131" s="1"/>
    </row>
    <row r="132" spans="1:16" ht="20.100000000000001" customHeight="1">
      <c r="A132" s="1"/>
      <c r="B132" s="1"/>
      <c r="C132" s="132"/>
      <c r="D132" s="101"/>
      <c r="E132" s="102"/>
      <c r="F132" s="102"/>
      <c r="G132" s="1"/>
      <c r="H132" s="1"/>
      <c r="I132" s="1"/>
      <c r="J132" s="1"/>
      <c r="K132" s="1"/>
      <c r="L132" s="1"/>
      <c r="M132" s="1"/>
      <c r="N132" s="1"/>
      <c r="O132" s="1"/>
      <c r="P132" s="1"/>
    </row>
    <row r="133" spans="1:16" ht="20.100000000000001" customHeight="1">
      <c r="A133" s="1"/>
      <c r="B133" s="1"/>
      <c r="C133" s="132"/>
      <c r="D133" s="101"/>
      <c r="E133" s="102"/>
      <c r="F133" s="102"/>
      <c r="G133" s="1"/>
      <c r="H133" s="1"/>
      <c r="I133" s="1"/>
      <c r="J133" s="1"/>
      <c r="K133" s="1"/>
      <c r="L133" s="1"/>
      <c r="M133" s="1"/>
      <c r="N133" s="1"/>
      <c r="O133" s="1"/>
      <c r="P133" s="1"/>
    </row>
    <row r="134" spans="1:16" ht="20.100000000000001" customHeight="1">
      <c r="A134" s="1"/>
      <c r="B134" s="1"/>
      <c r="C134" s="132"/>
      <c r="D134" s="101"/>
      <c r="E134" s="102"/>
      <c r="F134" s="102"/>
      <c r="G134" s="1"/>
      <c r="H134" s="1"/>
      <c r="I134" s="1"/>
      <c r="J134" s="1"/>
      <c r="K134" s="1"/>
      <c r="L134" s="1"/>
      <c r="M134" s="1"/>
      <c r="N134" s="1"/>
      <c r="O134" s="1"/>
      <c r="P134" s="1"/>
    </row>
    <row r="135" spans="1:16" ht="20.100000000000001" customHeight="1">
      <c r="A135" s="1"/>
      <c r="B135" s="1"/>
      <c r="C135" s="132"/>
      <c r="D135" s="101"/>
      <c r="E135" s="102"/>
      <c r="F135" s="102"/>
      <c r="G135" s="1"/>
      <c r="H135" s="1"/>
      <c r="I135" s="1"/>
      <c r="J135" s="1"/>
      <c r="K135" s="1"/>
      <c r="L135" s="1"/>
      <c r="M135" s="1"/>
      <c r="N135" s="1"/>
      <c r="O135" s="1"/>
      <c r="P135" s="1"/>
    </row>
    <row r="136" spans="1:16" ht="20.100000000000001" customHeight="1">
      <c r="A136" s="1"/>
      <c r="B136" s="1"/>
      <c r="C136" s="132"/>
      <c r="D136" s="101"/>
      <c r="E136" s="102"/>
      <c r="F136" s="102"/>
      <c r="G136" s="1"/>
      <c r="H136" s="1"/>
      <c r="I136" s="1"/>
      <c r="J136" s="1"/>
      <c r="K136" s="1"/>
      <c r="L136" s="1"/>
      <c r="M136" s="1"/>
      <c r="N136" s="1"/>
      <c r="O136" s="1"/>
      <c r="P136" s="1"/>
    </row>
    <row r="137" spans="1:16" ht="20.100000000000001" customHeight="1">
      <c r="A137" s="1"/>
      <c r="B137" s="1"/>
      <c r="C137" s="132"/>
      <c r="D137" s="101"/>
      <c r="E137" s="102"/>
      <c r="F137" s="102"/>
      <c r="G137" s="1"/>
      <c r="H137" s="1"/>
      <c r="I137" s="1"/>
      <c r="J137" s="1"/>
      <c r="K137" s="1"/>
      <c r="L137" s="1"/>
      <c r="M137" s="1"/>
      <c r="N137" s="1"/>
      <c r="O137" s="1"/>
      <c r="P137" s="1"/>
    </row>
    <row r="138" spans="1:16" ht="20.100000000000001" customHeight="1">
      <c r="A138" s="1"/>
      <c r="B138" s="1"/>
      <c r="C138" s="132"/>
      <c r="D138" s="101"/>
      <c r="E138" s="102"/>
      <c r="F138" s="102"/>
      <c r="G138" s="1"/>
      <c r="H138" s="1"/>
      <c r="I138" s="1"/>
      <c r="J138" s="1"/>
      <c r="K138" s="1"/>
      <c r="L138" s="1"/>
      <c r="M138" s="1"/>
      <c r="N138" s="1"/>
      <c r="O138" s="1"/>
      <c r="P138" s="1"/>
    </row>
    <row r="139" spans="1:16" ht="20.100000000000001" customHeight="1">
      <c r="A139" s="1"/>
      <c r="B139" s="1"/>
      <c r="C139" s="132"/>
      <c r="D139" s="101"/>
      <c r="E139" s="102"/>
      <c r="F139" s="102"/>
      <c r="G139" s="1"/>
      <c r="H139" s="1"/>
      <c r="I139" s="1"/>
      <c r="J139" s="1"/>
      <c r="K139" s="1"/>
      <c r="L139" s="1"/>
      <c r="M139" s="1"/>
      <c r="N139" s="1"/>
      <c r="O139" s="1"/>
      <c r="P139" s="1"/>
    </row>
    <row r="140" spans="1:16" ht="20.100000000000001" customHeight="1">
      <c r="A140" s="1"/>
      <c r="B140" s="1"/>
      <c r="C140" s="132"/>
      <c r="D140" s="101"/>
      <c r="E140" s="102"/>
      <c r="F140" s="102"/>
      <c r="G140" s="1"/>
      <c r="H140" s="1"/>
      <c r="I140" s="1"/>
      <c r="J140" s="1"/>
      <c r="K140" s="1"/>
      <c r="L140" s="1"/>
      <c r="M140" s="1"/>
      <c r="N140" s="1"/>
      <c r="O140" s="1"/>
      <c r="P140" s="1"/>
    </row>
    <row r="141" spans="1:16" ht="20.100000000000001" customHeight="1">
      <c r="A141" s="1"/>
      <c r="B141" s="1"/>
      <c r="C141" s="132"/>
      <c r="D141" s="101"/>
      <c r="E141" s="102"/>
      <c r="F141" s="102"/>
      <c r="G141" s="1"/>
      <c r="H141" s="1"/>
      <c r="I141" s="1"/>
      <c r="J141" s="1"/>
      <c r="K141" s="1"/>
      <c r="L141" s="1"/>
      <c r="M141" s="1"/>
      <c r="N141" s="1"/>
      <c r="O141" s="1"/>
      <c r="P141" s="1"/>
    </row>
    <row r="142" spans="1:16" ht="20.100000000000001" customHeight="1">
      <c r="A142" s="1"/>
      <c r="B142" s="1"/>
      <c r="C142" s="132"/>
      <c r="D142" s="101"/>
      <c r="E142" s="102"/>
      <c r="F142" s="102"/>
      <c r="G142" s="1"/>
      <c r="H142" s="1"/>
      <c r="I142" s="1"/>
      <c r="J142" s="1"/>
      <c r="K142" s="1"/>
      <c r="L142" s="1"/>
      <c r="M142" s="1"/>
      <c r="N142" s="1"/>
      <c r="O142" s="1"/>
      <c r="P142" s="1"/>
    </row>
    <row r="143" spans="1:16" ht="20.100000000000001" customHeight="1">
      <c r="A143" s="1"/>
      <c r="B143" s="1"/>
      <c r="C143" s="132"/>
      <c r="D143" s="101"/>
      <c r="E143" s="102"/>
      <c r="F143" s="102"/>
      <c r="G143" s="1"/>
      <c r="H143" s="1"/>
      <c r="I143" s="1"/>
      <c r="J143" s="1"/>
      <c r="K143" s="1"/>
      <c r="L143" s="1"/>
      <c r="M143" s="1"/>
      <c r="N143" s="1"/>
      <c r="O143" s="1"/>
      <c r="P143" s="1"/>
    </row>
    <row r="144" spans="1:16" ht="20.100000000000001" customHeight="1">
      <c r="A144" s="1"/>
      <c r="B144" s="1"/>
      <c r="C144" s="132"/>
      <c r="D144" s="101"/>
      <c r="E144" s="102"/>
      <c r="F144" s="102"/>
      <c r="G144" s="1"/>
      <c r="H144" s="1"/>
      <c r="I144" s="1"/>
      <c r="J144" s="1"/>
      <c r="K144" s="1"/>
      <c r="L144" s="1"/>
      <c r="M144" s="1"/>
      <c r="N144" s="1"/>
      <c r="O144" s="1"/>
      <c r="P144" s="1"/>
    </row>
    <row r="145" spans="1:16" ht="20.100000000000001" customHeight="1">
      <c r="A145" s="1"/>
      <c r="B145" s="1"/>
      <c r="C145" s="132"/>
      <c r="D145" s="101"/>
      <c r="E145" s="102"/>
      <c r="F145" s="102"/>
      <c r="G145" s="1"/>
      <c r="H145" s="1"/>
      <c r="I145" s="1"/>
      <c r="J145" s="1"/>
      <c r="K145" s="1"/>
      <c r="L145" s="1"/>
      <c r="M145" s="1"/>
      <c r="N145" s="1"/>
      <c r="O145" s="1"/>
      <c r="P145" s="1"/>
    </row>
    <row r="146" spans="1:16" ht="20.100000000000001" customHeight="1">
      <c r="A146" s="1"/>
      <c r="B146" s="1"/>
      <c r="C146" s="132"/>
      <c r="D146" s="101"/>
      <c r="E146" s="102"/>
      <c r="F146" s="102"/>
      <c r="G146" s="1"/>
      <c r="H146" s="1"/>
      <c r="I146" s="1"/>
      <c r="J146" s="1"/>
      <c r="K146" s="1"/>
      <c r="L146" s="1"/>
      <c r="M146" s="1"/>
      <c r="N146" s="1"/>
      <c r="O146" s="1"/>
      <c r="P146" s="1"/>
    </row>
    <row r="147" spans="1:16" ht="20.100000000000001" customHeight="1">
      <c r="A147" s="1"/>
      <c r="B147" s="1"/>
      <c r="C147" s="132"/>
      <c r="D147" s="101"/>
      <c r="E147" s="102"/>
      <c r="F147" s="102"/>
      <c r="G147" s="1"/>
      <c r="H147" s="1"/>
      <c r="I147" s="1"/>
      <c r="J147" s="1"/>
      <c r="K147" s="1"/>
      <c r="L147" s="1"/>
      <c r="M147" s="1"/>
      <c r="N147" s="1"/>
      <c r="O147" s="1"/>
      <c r="P147" s="1"/>
    </row>
    <row r="148" spans="1:16" ht="20.100000000000001" customHeight="1">
      <c r="A148" s="1"/>
      <c r="B148" s="1"/>
      <c r="C148" s="132"/>
      <c r="D148" s="101"/>
      <c r="E148" s="102"/>
      <c r="F148" s="102"/>
      <c r="G148" s="1"/>
      <c r="H148" s="1"/>
      <c r="I148" s="1"/>
      <c r="J148" s="1"/>
      <c r="K148" s="1"/>
      <c r="L148" s="1"/>
      <c r="M148" s="1"/>
      <c r="N148" s="1"/>
      <c r="O148" s="1"/>
      <c r="P148" s="1"/>
    </row>
    <row r="149" spans="1:16" ht="20.100000000000001" customHeight="1">
      <c r="A149" s="1"/>
      <c r="B149" s="1"/>
      <c r="C149" s="132"/>
      <c r="D149" s="101"/>
      <c r="E149" s="102"/>
      <c r="F149" s="102"/>
      <c r="G149" s="1"/>
      <c r="H149" s="1"/>
      <c r="I149" s="1"/>
      <c r="J149" s="1"/>
      <c r="K149" s="1"/>
      <c r="L149" s="1"/>
      <c r="M149" s="1"/>
      <c r="N149" s="1"/>
      <c r="O149" s="1"/>
      <c r="P149" s="1"/>
    </row>
    <row r="150" spans="1:16" ht="20.100000000000001" customHeight="1">
      <c r="A150" s="1"/>
      <c r="B150" s="1"/>
      <c r="C150" s="132"/>
      <c r="D150" s="101"/>
      <c r="E150" s="102"/>
      <c r="F150" s="102"/>
      <c r="G150" s="1"/>
      <c r="H150" s="1"/>
      <c r="I150" s="1"/>
      <c r="J150" s="1"/>
      <c r="K150" s="1"/>
      <c r="L150" s="1"/>
      <c r="M150" s="1"/>
      <c r="N150" s="1"/>
      <c r="O150" s="1"/>
      <c r="P150" s="1"/>
    </row>
    <row r="151" spans="1:16" ht="20.100000000000001" customHeight="1">
      <c r="A151" s="1"/>
      <c r="B151" s="1"/>
      <c r="C151" s="132"/>
      <c r="D151" s="101"/>
      <c r="E151" s="102"/>
      <c r="F151" s="102"/>
      <c r="G151" s="1"/>
      <c r="H151" s="1"/>
      <c r="I151" s="1"/>
      <c r="J151" s="1"/>
      <c r="K151" s="1"/>
      <c r="L151" s="1"/>
      <c r="M151" s="1"/>
      <c r="N151" s="1"/>
      <c r="O151" s="1"/>
      <c r="P151" s="1"/>
    </row>
    <row r="152" spans="1:16" ht="20.100000000000001" customHeight="1">
      <c r="A152" s="1"/>
      <c r="B152" s="1"/>
      <c r="C152" s="132"/>
      <c r="D152" s="101"/>
      <c r="E152" s="102"/>
      <c r="F152" s="102"/>
      <c r="G152" s="1"/>
      <c r="H152" s="1"/>
      <c r="I152" s="1"/>
      <c r="J152" s="1"/>
      <c r="K152" s="1"/>
      <c r="L152" s="1"/>
      <c r="M152" s="1"/>
      <c r="N152" s="1"/>
      <c r="O152" s="1"/>
      <c r="P152" s="1"/>
    </row>
    <row r="153" spans="1:16" ht="20.100000000000001" customHeight="1">
      <c r="A153" s="1"/>
      <c r="B153" s="1"/>
      <c r="C153" s="132"/>
      <c r="D153" s="101"/>
      <c r="E153" s="102"/>
      <c r="F153" s="102"/>
      <c r="G153" s="1"/>
      <c r="H153" s="1"/>
      <c r="I153" s="1"/>
      <c r="J153" s="1"/>
      <c r="K153" s="1"/>
      <c r="L153" s="1"/>
      <c r="M153" s="1"/>
      <c r="N153" s="1"/>
      <c r="O153" s="1"/>
      <c r="P153" s="1"/>
    </row>
    <row r="154" spans="1:16" ht="20.100000000000001" customHeight="1">
      <c r="A154" s="1"/>
      <c r="B154" s="1"/>
      <c r="C154" s="132"/>
      <c r="D154" s="101"/>
      <c r="E154" s="102"/>
      <c r="F154" s="102"/>
      <c r="G154" s="1"/>
      <c r="H154" s="1"/>
      <c r="I154" s="1"/>
      <c r="J154" s="1"/>
      <c r="K154" s="1"/>
      <c r="L154" s="1"/>
      <c r="M154" s="1"/>
      <c r="N154" s="1"/>
      <c r="O154" s="1"/>
      <c r="P154" s="1"/>
    </row>
    <row r="155" spans="1:16" ht="20.100000000000001" customHeight="1">
      <c r="A155" s="1"/>
      <c r="B155" s="1"/>
      <c r="C155" s="132"/>
      <c r="D155" s="101"/>
      <c r="E155" s="102"/>
      <c r="F155" s="102"/>
      <c r="G155" s="1"/>
      <c r="H155" s="1"/>
      <c r="I155" s="1"/>
      <c r="J155" s="1"/>
      <c r="K155" s="1"/>
      <c r="L155" s="1"/>
      <c r="M155" s="1"/>
      <c r="N155" s="1"/>
      <c r="O155" s="1"/>
      <c r="P155" s="1"/>
    </row>
    <row r="156" spans="1:16" ht="20.100000000000001" customHeight="1">
      <c r="A156" s="1"/>
      <c r="B156" s="1"/>
      <c r="C156" s="132"/>
      <c r="D156" s="101"/>
      <c r="E156" s="102"/>
      <c r="F156" s="102"/>
      <c r="G156" s="1"/>
      <c r="H156" s="1"/>
      <c r="I156" s="1"/>
      <c r="J156" s="1"/>
      <c r="K156" s="1"/>
      <c r="L156" s="1"/>
      <c r="M156" s="1"/>
      <c r="N156" s="1"/>
      <c r="O156" s="1"/>
      <c r="P156" s="1"/>
    </row>
    <row r="157" spans="1:16" ht="20.100000000000001" customHeight="1">
      <c r="A157" s="1"/>
      <c r="B157" s="1"/>
      <c r="C157" s="132"/>
      <c r="D157" s="101"/>
      <c r="E157" s="102"/>
      <c r="F157" s="102"/>
      <c r="G157" s="1"/>
      <c r="H157" s="1"/>
      <c r="I157" s="1"/>
      <c r="J157" s="1"/>
      <c r="K157" s="1"/>
      <c r="L157" s="1"/>
      <c r="M157" s="1"/>
      <c r="N157" s="1"/>
      <c r="O157" s="1"/>
      <c r="P157" s="1"/>
    </row>
    <row r="158" spans="1:16" ht="20.100000000000001" customHeight="1">
      <c r="A158" s="1"/>
      <c r="B158" s="1"/>
      <c r="C158" s="132"/>
      <c r="D158" s="101"/>
      <c r="E158" s="102"/>
      <c r="F158" s="102"/>
      <c r="G158" s="1"/>
      <c r="H158" s="1"/>
      <c r="I158" s="1"/>
      <c r="J158" s="1"/>
      <c r="K158" s="1"/>
      <c r="L158" s="1"/>
      <c r="M158" s="1"/>
      <c r="N158" s="1"/>
      <c r="O158" s="1"/>
      <c r="P158" s="1"/>
    </row>
    <row r="159" spans="1:16" ht="20.100000000000001" customHeight="1">
      <c r="A159" s="1"/>
      <c r="B159" s="1"/>
      <c r="C159" s="132"/>
      <c r="D159" s="101"/>
      <c r="E159" s="102"/>
      <c r="F159" s="102"/>
      <c r="G159" s="1"/>
      <c r="H159" s="1"/>
      <c r="I159" s="1"/>
      <c r="J159" s="1"/>
      <c r="K159" s="1"/>
      <c r="L159" s="1"/>
      <c r="M159" s="1"/>
      <c r="N159" s="1"/>
      <c r="O159" s="1"/>
      <c r="P159" s="1"/>
    </row>
    <row r="160" spans="1:16" ht="20.100000000000001" customHeight="1">
      <c r="A160" s="1"/>
      <c r="B160" s="1"/>
      <c r="C160" s="132"/>
      <c r="D160" s="101"/>
      <c r="E160" s="102"/>
      <c r="F160" s="102"/>
      <c r="G160" s="1"/>
      <c r="H160" s="1"/>
      <c r="I160" s="1"/>
      <c r="J160" s="1"/>
      <c r="K160" s="1"/>
      <c r="L160" s="1"/>
      <c r="M160" s="1"/>
      <c r="N160" s="1"/>
      <c r="O160" s="1"/>
      <c r="P160" s="1"/>
    </row>
    <row r="161" spans="1:16" ht="20.100000000000001" customHeight="1">
      <c r="A161" s="1"/>
      <c r="B161" s="1"/>
      <c r="C161" s="132"/>
      <c r="D161" s="101"/>
      <c r="E161" s="102"/>
      <c r="F161" s="102"/>
      <c r="G161" s="1"/>
      <c r="H161" s="1"/>
      <c r="I161" s="1"/>
      <c r="J161" s="1"/>
      <c r="K161" s="1"/>
      <c r="L161" s="1"/>
      <c r="M161" s="1"/>
      <c r="N161" s="1"/>
      <c r="O161" s="1"/>
      <c r="P161" s="1"/>
    </row>
    <row r="162" spans="1:16" ht="20.100000000000001" customHeight="1">
      <c r="A162" s="1"/>
      <c r="B162" s="1"/>
      <c r="C162" s="132"/>
      <c r="D162" s="101"/>
      <c r="E162" s="102"/>
      <c r="F162" s="102"/>
      <c r="G162" s="1"/>
      <c r="H162" s="1"/>
      <c r="I162" s="1"/>
      <c r="J162" s="1"/>
      <c r="K162" s="1"/>
      <c r="L162" s="1"/>
      <c r="M162" s="1"/>
      <c r="N162" s="1"/>
      <c r="O162" s="1"/>
      <c r="P162" s="1"/>
    </row>
    <row r="163" spans="1:16" ht="20.100000000000001" customHeight="1">
      <c r="A163" s="1"/>
      <c r="B163" s="1"/>
      <c r="C163" s="132"/>
      <c r="D163" s="101"/>
      <c r="E163" s="102"/>
      <c r="F163" s="102"/>
      <c r="G163" s="1"/>
      <c r="H163" s="1"/>
      <c r="I163" s="1"/>
      <c r="J163" s="1"/>
      <c r="K163" s="1"/>
      <c r="L163" s="1"/>
      <c r="M163" s="1"/>
      <c r="N163" s="1"/>
      <c r="O163" s="1"/>
      <c r="P163" s="1"/>
    </row>
    <row r="164" spans="1:16" ht="20.100000000000001" customHeight="1">
      <c r="A164" s="1"/>
      <c r="B164" s="1"/>
      <c r="C164" s="132"/>
      <c r="D164" s="101"/>
      <c r="E164" s="102"/>
      <c r="F164" s="102"/>
      <c r="G164" s="1"/>
      <c r="H164" s="1"/>
      <c r="I164" s="1"/>
      <c r="J164" s="1"/>
      <c r="K164" s="1"/>
      <c r="L164" s="1"/>
      <c r="M164" s="1"/>
      <c r="N164" s="1"/>
      <c r="O164" s="1"/>
      <c r="P164" s="1"/>
    </row>
    <row r="165" spans="1:16" ht="20.100000000000001" customHeight="1">
      <c r="A165" s="1"/>
      <c r="B165" s="1"/>
      <c r="C165" s="132"/>
      <c r="D165" s="101"/>
      <c r="E165" s="102"/>
      <c r="F165" s="102"/>
      <c r="G165" s="1"/>
      <c r="H165" s="1"/>
      <c r="I165" s="1"/>
      <c r="J165" s="1"/>
      <c r="K165" s="1"/>
      <c r="L165" s="1"/>
      <c r="M165" s="1"/>
      <c r="N165" s="1"/>
      <c r="O165" s="1"/>
      <c r="P165" s="1"/>
    </row>
    <row r="166" spans="1:16" ht="20.100000000000001" customHeight="1">
      <c r="A166" s="1"/>
      <c r="B166" s="1"/>
      <c r="C166" s="132"/>
      <c r="D166" s="101"/>
      <c r="E166" s="102"/>
      <c r="F166" s="102"/>
      <c r="G166" s="1"/>
      <c r="H166" s="1"/>
      <c r="I166" s="1"/>
      <c r="J166" s="1"/>
      <c r="K166" s="1"/>
      <c r="L166" s="1"/>
      <c r="M166" s="1"/>
      <c r="N166" s="1"/>
      <c r="O166" s="1"/>
      <c r="P166" s="1"/>
    </row>
    <row r="167" spans="1:16" ht="20.100000000000001" customHeight="1">
      <c r="A167" s="1"/>
      <c r="B167" s="1"/>
      <c r="C167" s="132"/>
      <c r="D167" s="101"/>
      <c r="E167" s="102"/>
      <c r="F167" s="102"/>
      <c r="G167" s="1"/>
      <c r="H167" s="1"/>
      <c r="I167" s="1"/>
      <c r="J167" s="1"/>
      <c r="K167" s="1"/>
      <c r="L167" s="1"/>
      <c r="M167" s="1"/>
      <c r="N167" s="1"/>
      <c r="O167" s="1"/>
      <c r="P167" s="1"/>
    </row>
    <row r="168" spans="1:16" ht="20.100000000000001" customHeight="1">
      <c r="A168" s="1"/>
      <c r="B168" s="1"/>
      <c r="C168" s="132"/>
      <c r="D168" s="101"/>
      <c r="E168" s="102"/>
      <c r="F168" s="102"/>
      <c r="G168" s="1"/>
      <c r="H168" s="1"/>
      <c r="I168" s="1"/>
      <c r="J168" s="1"/>
      <c r="K168" s="1"/>
      <c r="L168" s="1"/>
      <c r="M168" s="1"/>
      <c r="N168" s="1"/>
      <c r="O168" s="1"/>
      <c r="P168" s="1"/>
    </row>
    <row r="169" spans="1:16" ht="20.100000000000001" customHeight="1">
      <c r="A169" s="1"/>
      <c r="B169" s="1"/>
      <c r="C169" s="132"/>
      <c r="D169" s="101"/>
      <c r="E169" s="102"/>
      <c r="F169" s="102"/>
      <c r="G169" s="1"/>
      <c r="H169" s="1"/>
      <c r="I169" s="1"/>
      <c r="J169" s="1"/>
      <c r="K169" s="1"/>
      <c r="L169" s="1"/>
      <c r="M169" s="1"/>
      <c r="N169" s="1"/>
      <c r="O169" s="1"/>
      <c r="P169" s="1"/>
    </row>
    <row r="170" spans="1:16" ht="20.100000000000001" customHeight="1">
      <c r="A170" s="1"/>
      <c r="B170" s="1"/>
      <c r="C170" s="132"/>
      <c r="D170" s="101"/>
      <c r="E170" s="102"/>
      <c r="F170" s="102"/>
      <c r="G170" s="1"/>
      <c r="H170" s="1"/>
      <c r="I170" s="1"/>
      <c r="J170" s="1"/>
      <c r="K170" s="1"/>
      <c r="L170" s="1"/>
      <c r="M170" s="1"/>
      <c r="N170" s="1"/>
      <c r="O170" s="1"/>
      <c r="P170" s="1"/>
    </row>
    <row r="171" spans="1:16" ht="20.100000000000001" customHeight="1">
      <c r="A171" s="1"/>
      <c r="B171" s="1"/>
      <c r="C171" s="132"/>
      <c r="D171" s="101"/>
      <c r="E171" s="102"/>
      <c r="F171" s="102"/>
      <c r="G171" s="1"/>
      <c r="H171" s="1"/>
      <c r="I171" s="1"/>
      <c r="J171" s="1"/>
      <c r="K171" s="1"/>
      <c r="L171" s="1"/>
      <c r="M171" s="1"/>
      <c r="N171" s="1"/>
      <c r="O171" s="1"/>
      <c r="P171" s="1"/>
    </row>
    <row r="172" spans="1:16" ht="20.100000000000001" customHeight="1">
      <c r="A172" s="1"/>
      <c r="B172" s="1"/>
      <c r="C172" s="132"/>
      <c r="D172" s="101"/>
      <c r="E172" s="102"/>
      <c r="F172" s="102"/>
      <c r="G172" s="1"/>
      <c r="H172" s="1"/>
      <c r="I172" s="1"/>
      <c r="J172" s="1"/>
      <c r="K172" s="1"/>
      <c r="L172" s="1"/>
      <c r="M172" s="1"/>
      <c r="N172" s="1"/>
      <c r="O172" s="1"/>
      <c r="P172" s="1"/>
    </row>
    <row r="173" spans="1:16" ht="20.100000000000001" customHeight="1">
      <c r="A173" s="1"/>
      <c r="B173" s="1"/>
      <c r="C173" s="132"/>
      <c r="D173" s="101"/>
      <c r="E173" s="102"/>
      <c r="F173" s="102"/>
      <c r="G173" s="1"/>
      <c r="H173" s="1"/>
      <c r="I173" s="1"/>
      <c r="J173" s="1"/>
      <c r="K173" s="1"/>
      <c r="L173" s="1"/>
      <c r="M173" s="1"/>
      <c r="N173" s="1"/>
      <c r="O173" s="1"/>
      <c r="P173" s="1"/>
    </row>
    <row r="174" spans="1:16" ht="20.100000000000001" customHeight="1">
      <c r="A174" s="1"/>
      <c r="B174" s="1"/>
      <c r="C174" s="132"/>
      <c r="D174" s="101"/>
      <c r="E174" s="102"/>
      <c r="F174" s="102"/>
      <c r="G174" s="1"/>
      <c r="H174" s="1"/>
      <c r="I174" s="1"/>
      <c r="J174" s="1"/>
      <c r="K174" s="1"/>
      <c r="L174" s="1"/>
      <c r="M174" s="1"/>
      <c r="N174" s="1"/>
      <c r="O174" s="1"/>
      <c r="P174" s="1"/>
    </row>
    <row r="175" spans="1:16" ht="20.100000000000001" customHeight="1">
      <c r="A175" s="1"/>
      <c r="B175" s="1"/>
      <c r="C175" s="132"/>
      <c r="D175" s="101"/>
      <c r="E175" s="102"/>
      <c r="F175" s="102"/>
      <c r="G175" s="1"/>
      <c r="H175" s="1"/>
      <c r="I175" s="1"/>
      <c r="J175" s="1"/>
      <c r="K175" s="1"/>
      <c r="L175" s="1"/>
      <c r="M175" s="1"/>
      <c r="N175" s="1"/>
      <c r="O175" s="1"/>
      <c r="P175" s="1"/>
    </row>
    <row r="176" spans="1:16" ht="20.100000000000001" customHeight="1">
      <c r="A176" s="1"/>
      <c r="B176" s="1"/>
      <c r="C176" s="132"/>
      <c r="D176" s="101"/>
      <c r="E176" s="102"/>
      <c r="F176" s="102"/>
      <c r="G176" s="1"/>
      <c r="H176" s="1"/>
      <c r="I176" s="1"/>
      <c r="J176" s="1"/>
      <c r="K176" s="1"/>
      <c r="L176" s="1"/>
      <c r="M176" s="1"/>
      <c r="N176" s="1"/>
      <c r="O176" s="1"/>
      <c r="P176" s="1"/>
    </row>
    <row r="177" spans="1:16" ht="20.100000000000001" customHeight="1">
      <c r="A177" s="1"/>
      <c r="B177" s="1"/>
      <c r="C177" s="132"/>
      <c r="D177" s="101"/>
      <c r="E177" s="102"/>
      <c r="F177" s="102"/>
      <c r="G177" s="1"/>
      <c r="H177" s="1"/>
      <c r="I177" s="1"/>
      <c r="J177" s="1"/>
      <c r="K177" s="1"/>
      <c r="L177" s="1"/>
      <c r="M177" s="1"/>
      <c r="N177" s="1"/>
      <c r="O177" s="1"/>
      <c r="P177" s="1"/>
    </row>
    <row r="178" spans="1:16" ht="20.100000000000001" customHeight="1">
      <c r="A178" s="1"/>
      <c r="B178" s="1"/>
      <c r="C178" s="132"/>
      <c r="D178" s="101"/>
      <c r="E178" s="102"/>
      <c r="F178" s="102"/>
      <c r="G178" s="1"/>
      <c r="H178" s="1"/>
      <c r="I178" s="1"/>
      <c r="J178" s="1"/>
      <c r="K178" s="1"/>
      <c r="L178" s="1"/>
      <c r="M178" s="1"/>
      <c r="N178" s="1"/>
      <c r="O178" s="1"/>
      <c r="P178" s="1"/>
    </row>
    <row r="179" spans="1:16" ht="20.100000000000001" customHeight="1">
      <c r="A179" s="1"/>
      <c r="B179" s="1"/>
      <c r="C179" s="132"/>
      <c r="D179" s="101"/>
      <c r="E179" s="102"/>
      <c r="F179" s="102"/>
      <c r="G179" s="1"/>
      <c r="H179" s="1"/>
      <c r="I179" s="1"/>
      <c r="J179" s="1"/>
      <c r="K179" s="1"/>
      <c r="L179" s="1"/>
      <c r="M179" s="1"/>
      <c r="N179" s="1"/>
      <c r="O179" s="1"/>
      <c r="P179" s="1"/>
    </row>
    <row r="180" spans="1:16" ht="20.100000000000001" customHeight="1">
      <c r="A180" s="1"/>
      <c r="B180" s="1"/>
      <c r="C180" s="132"/>
      <c r="D180" s="101"/>
      <c r="E180" s="102"/>
      <c r="F180" s="102"/>
      <c r="G180" s="1"/>
      <c r="H180" s="1"/>
      <c r="I180" s="1"/>
      <c r="J180" s="1"/>
      <c r="K180" s="1"/>
      <c r="L180" s="1"/>
      <c r="M180" s="1"/>
      <c r="N180" s="1"/>
      <c r="O180" s="1"/>
      <c r="P180" s="1"/>
    </row>
    <row r="181" spans="1:16" ht="20.100000000000001" customHeight="1">
      <c r="A181" s="1"/>
      <c r="B181" s="1"/>
      <c r="C181" s="132"/>
      <c r="D181" s="101"/>
      <c r="E181" s="102"/>
      <c r="F181" s="102"/>
      <c r="G181" s="1"/>
      <c r="H181" s="1"/>
      <c r="I181" s="1"/>
      <c r="J181" s="1"/>
      <c r="K181" s="1"/>
      <c r="L181" s="1"/>
      <c r="M181" s="1"/>
      <c r="N181" s="1"/>
      <c r="O181" s="1"/>
      <c r="P181" s="1"/>
    </row>
    <row r="182" spans="1:16" ht="20.100000000000001" customHeight="1">
      <c r="A182" s="1"/>
      <c r="B182" s="1"/>
      <c r="C182" s="132"/>
      <c r="D182" s="101"/>
      <c r="E182" s="102"/>
      <c r="F182" s="102"/>
      <c r="G182" s="1"/>
      <c r="H182" s="1"/>
      <c r="I182" s="1"/>
      <c r="J182" s="1"/>
      <c r="K182" s="1"/>
      <c r="L182" s="1"/>
      <c r="M182" s="1"/>
      <c r="N182" s="1"/>
      <c r="O182" s="1"/>
      <c r="P182" s="1"/>
    </row>
    <row r="183" spans="1:16" ht="20.100000000000001" customHeight="1">
      <c r="A183" s="1"/>
      <c r="B183" s="1"/>
      <c r="C183" s="132"/>
      <c r="D183" s="101"/>
      <c r="E183" s="102"/>
      <c r="F183" s="102"/>
      <c r="G183" s="1"/>
      <c r="H183" s="1"/>
      <c r="I183" s="1"/>
      <c r="J183" s="1"/>
      <c r="K183" s="1"/>
      <c r="L183" s="1"/>
      <c r="M183" s="1"/>
      <c r="N183" s="1"/>
      <c r="O183" s="1"/>
      <c r="P183" s="1"/>
    </row>
    <row r="184" spans="1:16" ht="20.100000000000001" customHeight="1">
      <c r="A184" s="1"/>
      <c r="B184" s="1"/>
      <c r="C184" s="132"/>
      <c r="D184" s="101"/>
      <c r="E184" s="102"/>
      <c r="F184" s="102"/>
      <c r="G184" s="1"/>
      <c r="H184" s="1"/>
      <c r="I184" s="1"/>
      <c r="J184" s="1"/>
      <c r="K184" s="1"/>
      <c r="L184" s="1"/>
      <c r="M184" s="1"/>
      <c r="N184" s="1"/>
      <c r="O184" s="1"/>
      <c r="P184" s="1"/>
    </row>
    <row r="185" spans="1:16" ht="20.100000000000001" customHeight="1">
      <c r="A185" s="1"/>
      <c r="B185" s="1"/>
      <c r="C185" s="132"/>
      <c r="D185" s="101"/>
      <c r="E185" s="102"/>
      <c r="F185" s="102"/>
      <c r="G185" s="1"/>
      <c r="H185" s="1"/>
      <c r="I185" s="1"/>
      <c r="J185" s="1"/>
      <c r="K185" s="1"/>
      <c r="L185" s="1"/>
      <c r="M185" s="1"/>
      <c r="N185" s="1"/>
      <c r="O185" s="1"/>
      <c r="P185" s="1"/>
    </row>
    <row r="186" spans="1:16" ht="20.100000000000001" customHeight="1">
      <c r="A186" s="1"/>
      <c r="B186" s="1"/>
      <c r="C186" s="132"/>
      <c r="D186" s="101"/>
      <c r="E186" s="102"/>
      <c r="F186" s="102"/>
      <c r="G186" s="1"/>
      <c r="H186" s="1"/>
      <c r="I186" s="1"/>
      <c r="J186" s="1"/>
      <c r="K186" s="1"/>
      <c r="L186" s="1"/>
      <c r="M186" s="1"/>
      <c r="N186" s="1"/>
      <c r="O186" s="1"/>
      <c r="P186" s="1"/>
    </row>
    <row r="187" spans="1:16" ht="20.100000000000001" customHeight="1">
      <c r="A187" s="1"/>
      <c r="B187" s="1"/>
      <c r="C187" s="132"/>
      <c r="D187" s="101"/>
      <c r="E187" s="102"/>
      <c r="F187" s="102"/>
      <c r="G187" s="1"/>
      <c r="H187" s="1"/>
      <c r="I187" s="1"/>
      <c r="J187" s="1"/>
      <c r="K187" s="1"/>
      <c r="L187" s="1"/>
      <c r="M187" s="1"/>
      <c r="N187" s="1"/>
      <c r="O187" s="1"/>
      <c r="P187" s="1"/>
    </row>
    <row r="188" spans="1:16" ht="20.100000000000001" customHeight="1">
      <c r="A188" s="1"/>
      <c r="B188" s="1"/>
      <c r="C188" s="132"/>
      <c r="D188" s="101"/>
      <c r="E188" s="102"/>
      <c r="F188" s="102"/>
      <c r="G188" s="1"/>
      <c r="H188" s="1"/>
      <c r="I188" s="1"/>
      <c r="J188" s="1"/>
      <c r="K188" s="1"/>
      <c r="L188" s="1"/>
      <c r="M188" s="1"/>
      <c r="N188" s="1"/>
      <c r="O188" s="1"/>
      <c r="P188" s="1"/>
    </row>
    <row r="189" spans="1:16" ht="20.100000000000001" customHeight="1">
      <c r="A189" s="1"/>
      <c r="B189" s="1"/>
      <c r="C189" s="132"/>
      <c r="D189" s="101"/>
      <c r="E189" s="102"/>
      <c r="F189" s="102"/>
      <c r="G189" s="1"/>
      <c r="H189" s="1"/>
      <c r="I189" s="1"/>
      <c r="J189" s="1"/>
      <c r="K189" s="1"/>
      <c r="L189" s="1"/>
      <c r="M189" s="1"/>
      <c r="N189" s="1"/>
      <c r="O189" s="1"/>
      <c r="P189" s="1"/>
    </row>
    <row r="190" spans="1:16" ht="20.100000000000001" customHeight="1">
      <c r="A190" s="1"/>
      <c r="B190" s="1"/>
      <c r="C190" s="132"/>
      <c r="D190" s="101"/>
      <c r="E190" s="102"/>
      <c r="F190" s="102"/>
      <c r="G190" s="1"/>
      <c r="H190" s="1"/>
      <c r="I190" s="1"/>
      <c r="J190" s="1"/>
      <c r="K190" s="1"/>
      <c r="L190" s="1"/>
      <c r="M190" s="1"/>
      <c r="N190" s="1"/>
      <c r="O190" s="1"/>
      <c r="P190" s="1"/>
    </row>
    <row r="191" spans="1:16" ht="20.100000000000001" customHeight="1">
      <c r="A191" s="1"/>
      <c r="B191" s="1"/>
      <c r="C191" s="132"/>
      <c r="D191" s="101"/>
      <c r="E191" s="102"/>
      <c r="F191" s="102"/>
      <c r="G191" s="1"/>
      <c r="H191" s="1"/>
      <c r="I191" s="1"/>
      <c r="J191" s="1"/>
      <c r="K191" s="1"/>
      <c r="L191" s="1"/>
      <c r="M191" s="1"/>
      <c r="N191" s="1"/>
      <c r="O191" s="1"/>
      <c r="P191" s="1"/>
    </row>
    <row r="192" spans="1:16" ht="20.100000000000001" customHeight="1">
      <c r="A192" s="1"/>
      <c r="B192" s="1"/>
      <c r="C192" s="132"/>
      <c r="D192" s="101"/>
      <c r="E192" s="102"/>
      <c r="F192" s="102"/>
      <c r="G192" s="1"/>
      <c r="H192" s="1"/>
      <c r="I192" s="1"/>
      <c r="J192" s="1"/>
      <c r="K192" s="1"/>
      <c r="L192" s="1"/>
      <c r="M192" s="1"/>
      <c r="N192" s="1"/>
      <c r="O192" s="1"/>
      <c r="P192" s="1"/>
    </row>
    <row r="193" spans="1:16" ht="20.100000000000001" customHeight="1">
      <c r="A193" s="1"/>
      <c r="B193" s="1"/>
      <c r="C193" s="132"/>
      <c r="D193" s="101"/>
      <c r="E193" s="102"/>
      <c r="F193" s="102"/>
      <c r="G193" s="1"/>
      <c r="H193" s="1"/>
      <c r="I193" s="1"/>
      <c r="J193" s="1"/>
      <c r="K193" s="1"/>
      <c r="L193" s="1"/>
      <c r="M193" s="1"/>
      <c r="N193" s="1"/>
      <c r="O193" s="1"/>
      <c r="P193" s="1"/>
    </row>
    <row r="194" spans="1:16" ht="20.100000000000001" customHeight="1">
      <c r="A194" s="1"/>
      <c r="B194" s="1"/>
      <c r="C194" s="132"/>
      <c r="D194" s="101"/>
      <c r="E194" s="102"/>
      <c r="F194" s="102"/>
      <c r="G194" s="1"/>
      <c r="H194" s="1"/>
      <c r="I194" s="1"/>
      <c r="J194" s="1"/>
      <c r="K194" s="1"/>
      <c r="L194" s="1"/>
      <c r="M194" s="1"/>
      <c r="N194" s="1"/>
      <c r="O194" s="1"/>
      <c r="P194" s="1"/>
    </row>
    <row r="195" spans="1:16" ht="20.100000000000001" customHeight="1">
      <c r="A195" s="1"/>
      <c r="B195" s="1"/>
      <c r="C195" s="132"/>
      <c r="D195" s="101"/>
      <c r="E195" s="102"/>
      <c r="F195" s="102"/>
      <c r="G195" s="1"/>
      <c r="H195" s="1"/>
      <c r="I195" s="1"/>
      <c r="J195" s="1"/>
      <c r="K195" s="1"/>
      <c r="L195" s="1"/>
      <c r="M195" s="1"/>
      <c r="N195" s="1"/>
      <c r="O195" s="1"/>
      <c r="P195" s="1"/>
    </row>
    <row r="196" spans="1:16" ht="20.100000000000001" customHeight="1">
      <c r="A196" s="1"/>
      <c r="B196" s="1"/>
      <c r="C196" s="132"/>
      <c r="D196" s="101"/>
      <c r="E196" s="102"/>
      <c r="F196" s="102"/>
      <c r="G196" s="1"/>
      <c r="H196" s="1"/>
      <c r="I196" s="1"/>
      <c r="J196" s="1"/>
      <c r="K196" s="1"/>
      <c r="L196" s="1"/>
      <c r="M196" s="1"/>
      <c r="N196" s="1"/>
      <c r="O196" s="1"/>
      <c r="P196" s="1"/>
    </row>
    <row r="197" spans="1:16" ht="20.100000000000001" customHeight="1">
      <c r="A197" s="1"/>
      <c r="B197" s="1"/>
      <c r="C197" s="132"/>
      <c r="D197" s="101"/>
      <c r="E197" s="102"/>
      <c r="F197" s="102"/>
      <c r="G197" s="1"/>
      <c r="H197" s="1"/>
      <c r="I197" s="1"/>
      <c r="J197" s="1"/>
      <c r="K197" s="1"/>
      <c r="L197" s="1"/>
      <c r="M197" s="1"/>
      <c r="N197" s="1"/>
      <c r="O197" s="1"/>
      <c r="P197" s="1"/>
    </row>
    <row r="198" spans="1:16" ht="20.100000000000001" customHeight="1">
      <c r="A198" s="1"/>
      <c r="B198" s="1"/>
      <c r="C198" s="132"/>
      <c r="D198" s="101"/>
      <c r="E198" s="102"/>
      <c r="F198" s="102"/>
      <c r="G198" s="1"/>
      <c r="H198" s="1"/>
      <c r="I198" s="1"/>
      <c r="J198" s="1"/>
      <c r="K198" s="1"/>
      <c r="L198" s="1"/>
      <c r="M198" s="1"/>
      <c r="N198" s="1"/>
      <c r="O198" s="1"/>
      <c r="P198" s="1"/>
    </row>
    <row r="199" spans="1:16" ht="20.100000000000001" customHeight="1">
      <c r="A199" s="1"/>
      <c r="B199" s="1"/>
      <c r="C199" s="132"/>
      <c r="D199" s="101"/>
      <c r="E199" s="102"/>
      <c r="F199" s="102"/>
      <c r="G199" s="1"/>
      <c r="H199" s="1"/>
      <c r="I199" s="1"/>
      <c r="J199" s="1"/>
      <c r="K199" s="1"/>
      <c r="L199" s="1"/>
      <c r="M199" s="1"/>
      <c r="N199" s="1"/>
      <c r="O199" s="1"/>
      <c r="P199" s="1"/>
    </row>
    <row r="200" spans="1:16" ht="20.100000000000001" customHeight="1">
      <c r="A200" s="1"/>
      <c r="B200" s="1"/>
      <c r="C200" s="132"/>
      <c r="D200" s="101"/>
      <c r="E200" s="102"/>
      <c r="F200" s="102"/>
      <c r="G200" s="1"/>
      <c r="H200" s="1"/>
      <c r="I200" s="1"/>
      <c r="J200" s="1"/>
      <c r="K200" s="1"/>
      <c r="L200" s="1"/>
      <c r="M200" s="1"/>
      <c r="N200" s="1"/>
      <c r="O200" s="1"/>
      <c r="P200" s="1"/>
    </row>
    <row r="201" spans="1:16" ht="20.100000000000001" customHeight="1">
      <c r="A201" s="1"/>
      <c r="B201" s="1"/>
      <c r="C201" s="132"/>
      <c r="D201" s="101"/>
      <c r="E201" s="102"/>
      <c r="F201" s="102"/>
      <c r="G201" s="1"/>
      <c r="H201" s="1"/>
      <c r="I201" s="1"/>
      <c r="J201" s="1"/>
      <c r="K201" s="1"/>
      <c r="L201" s="1"/>
      <c r="M201" s="1"/>
      <c r="N201" s="1"/>
      <c r="O201" s="1"/>
      <c r="P201" s="1"/>
    </row>
    <row r="202" spans="1:16" ht="20.100000000000001" customHeight="1">
      <c r="A202" s="1"/>
      <c r="B202" s="1"/>
      <c r="C202" s="132"/>
      <c r="D202" s="101"/>
      <c r="E202" s="102"/>
      <c r="F202" s="102"/>
      <c r="G202" s="1"/>
      <c r="H202" s="1"/>
      <c r="I202" s="1"/>
      <c r="J202" s="1"/>
      <c r="K202" s="1"/>
      <c r="L202" s="1"/>
      <c r="M202" s="1"/>
      <c r="N202" s="1"/>
      <c r="O202" s="1"/>
      <c r="P202" s="1"/>
    </row>
    <row r="203" spans="1:16" ht="20.100000000000001" customHeight="1">
      <c r="A203" s="1"/>
      <c r="B203" s="1"/>
      <c r="C203" s="132"/>
      <c r="D203" s="101"/>
      <c r="E203" s="102"/>
      <c r="F203" s="102"/>
      <c r="G203" s="1"/>
      <c r="H203" s="1"/>
      <c r="I203" s="1"/>
      <c r="J203" s="1"/>
      <c r="K203" s="1"/>
      <c r="L203" s="1"/>
      <c r="M203" s="1"/>
      <c r="N203" s="1"/>
      <c r="O203" s="1"/>
      <c r="P203" s="1"/>
    </row>
    <row r="204" spans="1:16" ht="20.100000000000001" customHeight="1">
      <c r="A204" s="1"/>
      <c r="B204" s="1"/>
      <c r="C204" s="132"/>
      <c r="D204" s="101"/>
      <c r="E204" s="102"/>
      <c r="F204" s="102"/>
      <c r="G204" s="1"/>
      <c r="H204" s="1"/>
      <c r="I204" s="1"/>
      <c r="J204" s="1"/>
      <c r="K204" s="1"/>
      <c r="L204" s="1"/>
      <c r="M204" s="1"/>
      <c r="N204" s="1"/>
      <c r="O204" s="1"/>
      <c r="P204" s="1"/>
    </row>
    <row r="205" spans="1:16" ht="20.100000000000001" customHeight="1">
      <c r="A205" s="1"/>
      <c r="B205" s="1"/>
      <c r="C205" s="132"/>
      <c r="D205" s="101"/>
      <c r="E205" s="102"/>
      <c r="F205" s="102"/>
      <c r="G205" s="1"/>
      <c r="H205" s="1"/>
      <c r="I205" s="1"/>
      <c r="J205" s="1"/>
      <c r="K205" s="1"/>
      <c r="L205" s="1"/>
      <c r="M205" s="1"/>
      <c r="N205" s="1"/>
      <c r="O205" s="1"/>
      <c r="P205" s="1"/>
    </row>
    <row r="206" spans="1:16" ht="20.100000000000001" customHeight="1">
      <c r="A206" s="1"/>
      <c r="B206" s="1"/>
      <c r="C206" s="132"/>
      <c r="D206" s="101"/>
      <c r="E206" s="102"/>
      <c r="F206" s="102"/>
      <c r="G206" s="1"/>
      <c r="H206" s="1"/>
      <c r="I206" s="1"/>
      <c r="J206" s="1"/>
      <c r="K206" s="1"/>
      <c r="L206" s="1"/>
      <c r="M206" s="1"/>
      <c r="N206" s="1"/>
      <c r="O206" s="1"/>
      <c r="P206" s="1"/>
    </row>
    <row r="207" spans="1:16" ht="20.100000000000001" customHeight="1">
      <c r="A207" s="1"/>
      <c r="B207" s="1"/>
      <c r="C207" s="132"/>
      <c r="D207" s="101"/>
      <c r="E207" s="102"/>
      <c r="F207" s="102"/>
      <c r="G207" s="1"/>
      <c r="H207" s="1"/>
      <c r="I207" s="1"/>
      <c r="J207" s="1"/>
      <c r="K207" s="1"/>
      <c r="L207" s="1"/>
      <c r="M207" s="1"/>
      <c r="N207" s="1"/>
      <c r="O207" s="1"/>
      <c r="P207" s="1"/>
    </row>
    <row r="208" spans="1:16" ht="20.100000000000001" customHeight="1">
      <c r="A208" s="1"/>
      <c r="B208" s="1"/>
      <c r="C208" s="132"/>
      <c r="D208" s="101"/>
      <c r="E208" s="102"/>
      <c r="F208" s="102"/>
      <c r="G208" s="1"/>
      <c r="H208" s="1"/>
      <c r="I208" s="1"/>
      <c r="J208" s="1"/>
      <c r="K208" s="1"/>
      <c r="L208" s="1"/>
      <c r="M208" s="1"/>
      <c r="N208" s="1"/>
      <c r="O208" s="1"/>
      <c r="P208" s="1"/>
    </row>
    <row r="209" spans="1:16" ht="20.100000000000001" customHeight="1">
      <c r="A209" s="1"/>
      <c r="B209" s="1"/>
      <c r="C209" s="132"/>
      <c r="D209" s="101"/>
      <c r="E209" s="102"/>
      <c r="F209" s="102"/>
      <c r="G209" s="1"/>
      <c r="H209" s="1"/>
      <c r="I209" s="1"/>
      <c r="J209" s="1"/>
      <c r="K209" s="1"/>
      <c r="L209" s="1"/>
      <c r="M209" s="1"/>
      <c r="N209" s="1"/>
      <c r="O209" s="1"/>
      <c r="P209" s="1"/>
    </row>
    <row r="210" spans="1:16" ht="20.100000000000001" customHeight="1">
      <c r="A210" s="1"/>
      <c r="B210" s="1"/>
      <c r="C210" s="132"/>
      <c r="D210" s="101"/>
      <c r="E210" s="102"/>
      <c r="F210" s="102"/>
      <c r="G210" s="1"/>
      <c r="H210" s="1"/>
      <c r="I210" s="1"/>
      <c r="J210" s="1"/>
      <c r="K210" s="1"/>
      <c r="L210" s="1"/>
      <c r="M210" s="1"/>
      <c r="N210" s="1"/>
      <c r="O210" s="1"/>
      <c r="P210" s="1"/>
    </row>
    <row r="211" spans="1:16" ht="20.100000000000001" customHeight="1">
      <c r="A211" s="1"/>
      <c r="B211" s="1"/>
      <c r="C211" s="132"/>
      <c r="D211" s="101"/>
      <c r="E211" s="102"/>
      <c r="F211" s="102"/>
      <c r="G211" s="1"/>
      <c r="H211" s="1"/>
      <c r="I211" s="1"/>
      <c r="J211" s="1"/>
      <c r="K211" s="1"/>
      <c r="L211" s="1"/>
      <c r="M211" s="1"/>
      <c r="N211" s="1"/>
      <c r="O211" s="1"/>
      <c r="P211" s="1"/>
    </row>
    <row r="212" spans="1:16" ht="20.100000000000001" customHeight="1">
      <c r="A212" s="1"/>
      <c r="B212" s="1"/>
      <c r="C212" s="132"/>
      <c r="D212" s="101"/>
      <c r="E212" s="102"/>
      <c r="F212" s="102"/>
      <c r="G212" s="1"/>
      <c r="H212" s="1"/>
      <c r="I212" s="1"/>
      <c r="J212" s="1"/>
      <c r="K212" s="1"/>
      <c r="L212" s="1"/>
      <c r="M212" s="1"/>
      <c r="N212" s="1"/>
      <c r="O212" s="1"/>
      <c r="P212" s="1"/>
    </row>
    <row r="213" spans="1:16" ht="20.100000000000001" customHeight="1">
      <c r="A213" s="1"/>
      <c r="B213" s="1"/>
      <c r="C213" s="132"/>
      <c r="D213" s="101"/>
      <c r="E213" s="102"/>
      <c r="F213" s="102"/>
      <c r="G213" s="1"/>
      <c r="H213" s="1"/>
      <c r="I213" s="1"/>
      <c r="J213" s="1"/>
      <c r="K213" s="1"/>
      <c r="L213" s="1"/>
      <c r="M213" s="1"/>
      <c r="N213" s="1"/>
      <c r="O213" s="1"/>
      <c r="P213" s="1"/>
    </row>
    <row r="214" spans="1:16" ht="20.100000000000001" customHeight="1">
      <c r="A214" s="1"/>
      <c r="B214" s="1"/>
      <c r="C214" s="132"/>
      <c r="D214" s="101"/>
      <c r="E214" s="102"/>
      <c r="F214" s="102"/>
      <c r="G214" s="1"/>
      <c r="H214" s="1"/>
      <c r="I214" s="1"/>
      <c r="J214" s="1"/>
      <c r="K214" s="1"/>
      <c r="L214" s="1"/>
      <c r="M214" s="1"/>
      <c r="N214" s="1"/>
      <c r="O214" s="1"/>
      <c r="P214" s="1"/>
    </row>
    <row r="215" spans="1:16" ht="20.100000000000001" customHeight="1">
      <c r="A215" s="1"/>
      <c r="B215" s="1"/>
      <c r="C215" s="132"/>
      <c r="D215" s="101"/>
      <c r="E215" s="102"/>
      <c r="F215" s="102"/>
      <c r="G215" s="1"/>
      <c r="H215" s="1"/>
      <c r="I215" s="1"/>
      <c r="J215" s="1"/>
      <c r="K215" s="1"/>
      <c r="L215" s="1"/>
      <c r="M215" s="1"/>
      <c r="N215" s="1"/>
      <c r="O215" s="1"/>
      <c r="P215" s="1"/>
    </row>
    <row r="216" spans="1:16" ht="20.100000000000001" customHeight="1">
      <c r="A216" s="1"/>
      <c r="B216" s="1"/>
      <c r="C216" s="132"/>
      <c r="D216" s="101"/>
      <c r="E216" s="102"/>
      <c r="F216" s="102"/>
      <c r="G216" s="1"/>
      <c r="H216" s="1"/>
      <c r="I216" s="1"/>
      <c r="J216" s="1"/>
      <c r="K216" s="1"/>
      <c r="L216" s="1"/>
      <c r="M216" s="1"/>
      <c r="N216" s="1"/>
      <c r="O216" s="1"/>
      <c r="P216" s="1"/>
    </row>
    <row r="217" spans="1:16" ht="20.100000000000001" customHeight="1">
      <c r="A217" s="1"/>
      <c r="B217" s="1"/>
      <c r="C217" s="132"/>
      <c r="D217" s="101"/>
      <c r="E217" s="102"/>
      <c r="F217" s="102"/>
      <c r="G217" s="1"/>
      <c r="H217" s="1"/>
      <c r="I217" s="1"/>
      <c r="J217" s="1"/>
      <c r="K217" s="1"/>
      <c r="L217" s="1"/>
      <c r="M217" s="1"/>
      <c r="N217" s="1"/>
      <c r="O217" s="1"/>
      <c r="P217" s="1"/>
    </row>
    <row r="218" spans="1:16" ht="20.100000000000001" customHeight="1">
      <c r="A218" s="1"/>
      <c r="B218" s="1"/>
      <c r="C218" s="132"/>
      <c r="D218" s="101"/>
      <c r="E218" s="102"/>
      <c r="F218" s="102"/>
      <c r="G218" s="1"/>
      <c r="H218" s="1"/>
      <c r="I218" s="1"/>
      <c r="J218" s="1"/>
      <c r="K218" s="1"/>
      <c r="L218" s="1"/>
      <c r="M218" s="1"/>
      <c r="N218" s="1"/>
      <c r="O218" s="1"/>
      <c r="P218" s="1"/>
    </row>
    <row r="219" spans="1:16" ht="20.100000000000001" customHeight="1">
      <c r="A219" s="1"/>
      <c r="B219" s="1"/>
      <c r="C219" s="132"/>
      <c r="D219" s="101"/>
      <c r="E219" s="102"/>
      <c r="F219" s="102"/>
      <c r="G219" s="1"/>
      <c r="H219" s="1"/>
      <c r="I219" s="1"/>
      <c r="J219" s="1"/>
      <c r="K219" s="1"/>
      <c r="L219" s="1"/>
      <c r="M219" s="1"/>
      <c r="N219" s="1"/>
      <c r="O219" s="1"/>
      <c r="P219" s="1"/>
    </row>
    <row r="220" spans="1:16" ht="20.100000000000001" customHeight="1">
      <c r="A220" s="1"/>
      <c r="B220" s="1"/>
      <c r="C220" s="132"/>
      <c r="D220" s="101"/>
      <c r="E220" s="102"/>
      <c r="F220" s="102"/>
      <c r="G220" s="1"/>
      <c r="H220" s="1"/>
      <c r="I220" s="1"/>
      <c r="J220" s="1"/>
      <c r="K220" s="1"/>
      <c r="L220" s="1"/>
      <c r="M220" s="1"/>
      <c r="N220" s="1"/>
      <c r="O220" s="1"/>
      <c r="P220" s="1"/>
    </row>
    <row r="221" spans="1:16" ht="20.100000000000001" customHeight="1">
      <c r="A221" s="1"/>
      <c r="B221" s="1"/>
      <c r="C221" s="132"/>
      <c r="D221" s="101"/>
      <c r="E221" s="102"/>
      <c r="F221" s="102"/>
      <c r="G221" s="1"/>
      <c r="H221" s="1"/>
      <c r="I221" s="1"/>
      <c r="J221" s="1"/>
      <c r="K221" s="1"/>
      <c r="L221" s="1"/>
      <c r="M221" s="1"/>
      <c r="N221" s="1"/>
      <c r="O221" s="1"/>
      <c r="P221" s="1"/>
    </row>
    <row r="222" spans="1:16" ht="20.100000000000001" customHeight="1">
      <c r="A222" s="1"/>
      <c r="B222" s="1"/>
      <c r="C222" s="132"/>
      <c r="D222" s="101"/>
      <c r="E222" s="102"/>
      <c r="F222" s="102"/>
      <c r="G222" s="1"/>
      <c r="H222" s="1"/>
      <c r="I222" s="1"/>
      <c r="J222" s="1"/>
      <c r="K222" s="1"/>
      <c r="L222" s="1"/>
      <c r="M222" s="1"/>
      <c r="N222" s="1"/>
      <c r="O222" s="1"/>
      <c r="P222" s="1"/>
    </row>
    <row r="223" spans="1:16" ht="20.100000000000001" customHeight="1">
      <c r="A223" s="1"/>
      <c r="B223" s="1"/>
      <c r="C223" s="132"/>
      <c r="D223" s="101"/>
      <c r="E223" s="102"/>
      <c r="F223" s="102"/>
      <c r="G223" s="1"/>
      <c r="H223" s="1"/>
      <c r="I223" s="1"/>
      <c r="J223" s="1"/>
      <c r="K223" s="1"/>
      <c r="L223" s="1"/>
      <c r="M223" s="1"/>
      <c r="N223" s="1"/>
      <c r="O223" s="1"/>
      <c r="P223" s="1"/>
    </row>
    <row r="224" spans="1:16" ht="20.100000000000001" customHeight="1">
      <c r="A224" s="1"/>
      <c r="B224" s="1"/>
      <c r="C224" s="132"/>
      <c r="D224" s="101"/>
      <c r="E224" s="102"/>
      <c r="F224" s="102"/>
      <c r="G224" s="1"/>
      <c r="H224" s="1"/>
      <c r="I224" s="1"/>
      <c r="J224" s="1"/>
      <c r="K224" s="1"/>
      <c r="L224" s="1"/>
      <c r="M224" s="1"/>
      <c r="N224" s="1"/>
      <c r="O224" s="1"/>
      <c r="P224" s="1"/>
    </row>
    <row r="225" spans="1:16" ht="20.100000000000001" customHeight="1">
      <c r="A225" s="1"/>
      <c r="B225" s="1"/>
      <c r="C225" s="132"/>
      <c r="D225" s="101"/>
      <c r="E225" s="102"/>
      <c r="F225" s="102"/>
      <c r="G225" s="1"/>
      <c r="H225" s="1"/>
      <c r="I225" s="1"/>
      <c r="J225" s="1"/>
      <c r="K225" s="1"/>
      <c r="L225" s="1"/>
      <c r="M225" s="1"/>
      <c r="N225" s="1"/>
      <c r="O225" s="1"/>
      <c r="P225" s="1"/>
    </row>
    <row r="226" spans="1:16" ht="20.100000000000001" customHeight="1">
      <c r="A226" s="1"/>
      <c r="B226" s="1"/>
      <c r="C226" s="132"/>
      <c r="D226" s="101"/>
      <c r="E226" s="102"/>
      <c r="F226" s="102"/>
      <c r="G226" s="1"/>
      <c r="H226" s="1"/>
      <c r="I226" s="1"/>
      <c r="J226" s="1"/>
      <c r="K226" s="1"/>
      <c r="L226" s="1"/>
      <c r="M226" s="1"/>
      <c r="N226" s="1"/>
      <c r="O226" s="1"/>
      <c r="P226" s="1"/>
    </row>
    <row r="227" spans="1:16" ht="20.100000000000001" customHeight="1">
      <c r="A227" s="1"/>
      <c r="B227" s="1"/>
      <c r="C227" s="132"/>
      <c r="D227" s="101"/>
      <c r="E227" s="102"/>
      <c r="F227" s="102"/>
      <c r="G227" s="1"/>
      <c r="H227" s="1"/>
      <c r="I227" s="1"/>
      <c r="J227" s="1"/>
      <c r="K227" s="1"/>
      <c r="L227" s="1"/>
      <c r="M227" s="1"/>
      <c r="N227" s="1"/>
      <c r="O227" s="1"/>
      <c r="P227" s="1"/>
    </row>
    <row r="228" spans="1:16" ht="20.100000000000001" customHeight="1">
      <c r="A228" s="1"/>
      <c r="B228" s="1"/>
      <c r="C228" s="132"/>
      <c r="D228" s="101"/>
      <c r="E228" s="102"/>
      <c r="F228" s="102"/>
      <c r="G228" s="1"/>
      <c r="H228" s="1"/>
      <c r="I228" s="1"/>
      <c r="J228" s="1"/>
      <c r="K228" s="1"/>
      <c r="L228" s="1"/>
      <c r="M228" s="1"/>
      <c r="N228" s="1"/>
      <c r="O228" s="1"/>
      <c r="P228" s="1"/>
    </row>
    <row r="229" spans="1:16" ht="20.100000000000001" customHeight="1">
      <c r="A229" s="1"/>
      <c r="B229" s="1"/>
      <c r="C229" s="132"/>
      <c r="D229" s="101"/>
      <c r="E229" s="102"/>
      <c r="F229" s="102"/>
      <c r="G229" s="1"/>
      <c r="H229" s="1"/>
      <c r="I229" s="1"/>
      <c r="J229" s="1"/>
      <c r="K229" s="1"/>
      <c r="L229" s="1"/>
      <c r="M229" s="1"/>
      <c r="N229" s="1"/>
      <c r="O229" s="1"/>
      <c r="P229" s="1"/>
    </row>
    <row r="230" spans="1:16" ht="20.100000000000001" customHeight="1">
      <c r="A230" s="1"/>
      <c r="B230" s="1"/>
      <c r="C230" s="132"/>
      <c r="D230" s="101"/>
      <c r="E230" s="102"/>
      <c r="F230" s="102"/>
      <c r="G230" s="1"/>
      <c r="H230" s="1"/>
      <c r="I230" s="1"/>
      <c r="J230" s="1"/>
      <c r="K230" s="1"/>
      <c r="L230" s="1"/>
      <c r="M230" s="1"/>
      <c r="N230" s="1"/>
      <c r="O230" s="1"/>
      <c r="P230" s="1"/>
    </row>
    <row r="231" spans="1:16" ht="20.100000000000001" customHeight="1">
      <c r="A231" s="1"/>
      <c r="B231" s="1"/>
      <c r="C231" s="132"/>
      <c r="D231" s="101"/>
      <c r="E231" s="102"/>
      <c r="F231" s="102"/>
      <c r="G231" s="1"/>
      <c r="H231" s="1"/>
      <c r="I231" s="1"/>
      <c r="J231" s="1"/>
      <c r="K231" s="1"/>
      <c r="L231" s="1"/>
      <c r="M231" s="1"/>
      <c r="N231" s="1"/>
      <c r="O231" s="1"/>
      <c r="P231" s="1"/>
    </row>
    <row r="232" spans="1:16" ht="20.100000000000001" customHeight="1">
      <c r="A232" s="1"/>
      <c r="B232" s="1"/>
      <c r="C232" s="132"/>
      <c r="D232" s="101"/>
      <c r="E232" s="102"/>
      <c r="F232" s="102"/>
      <c r="G232" s="1"/>
      <c r="H232" s="1"/>
      <c r="I232" s="1"/>
      <c r="J232" s="1"/>
      <c r="K232" s="1"/>
      <c r="L232" s="1"/>
      <c r="M232" s="1"/>
      <c r="N232" s="1"/>
      <c r="O232" s="1"/>
      <c r="P232" s="1"/>
    </row>
    <row r="233" spans="1:16" ht="20.100000000000001" customHeight="1">
      <c r="A233" s="1"/>
      <c r="B233" s="1"/>
      <c r="C233" s="132"/>
      <c r="D233" s="101"/>
      <c r="E233" s="102"/>
      <c r="F233" s="102"/>
      <c r="G233" s="1"/>
      <c r="H233" s="1"/>
      <c r="I233" s="1"/>
      <c r="J233" s="1"/>
      <c r="K233" s="1"/>
      <c r="L233" s="1"/>
      <c r="M233" s="1"/>
      <c r="N233" s="1"/>
      <c r="O233" s="1"/>
      <c r="P233" s="1"/>
    </row>
    <row r="234" spans="1:16" ht="20.100000000000001" customHeight="1">
      <c r="A234" s="1"/>
      <c r="B234" s="1"/>
      <c r="C234" s="132"/>
      <c r="D234" s="101"/>
      <c r="E234" s="102"/>
      <c r="F234" s="102"/>
      <c r="G234" s="1"/>
      <c r="H234" s="1"/>
      <c r="I234" s="1"/>
      <c r="J234" s="1"/>
      <c r="K234" s="1"/>
      <c r="L234" s="1"/>
      <c r="M234" s="1"/>
      <c r="N234" s="1"/>
      <c r="O234" s="1"/>
      <c r="P234" s="1"/>
    </row>
    <row r="235" spans="1:16" ht="20.100000000000001" customHeight="1">
      <c r="A235" s="1"/>
      <c r="C235" s="132"/>
      <c r="D235" s="101"/>
      <c r="E235" s="102"/>
      <c r="F235" s="102"/>
      <c r="G235" s="1"/>
      <c r="H235" s="1"/>
      <c r="I235" s="1"/>
      <c r="J235" s="1"/>
      <c r="K235" s="1"/>
      <c r="L235" s="1"/>
      <c r="M235" s="1"/>
      <c r="N235" s="1"/>
      <c r="O235" s="1"/>
      <c r="P235" s="1"/>
    </row>
    <row r="236" spans="1:16" ht="20.100000000000001" customHeight="1"/>
    <row r="237" spans="1:16" ht="20.100000000000001" customHeight="1"/>
    <row r="238" spans="1:16" ht="20.100000000000001" customHeight="1"/>
    <row r="239" spans="1:16" ht="20.100000000000001" customHeight="1"/>
  </sheetData>
  <mergeCells count="20">
    <mergeCell ref="A7:A8"/>
    <mergeCell ref="G7:O7"/>
    <mergeCell ref="A1:B1"/>
    <mergeCell ref="A2:B2"/>
    <mergeCell ref="P7:P8"/>
    <mergeCell ref="B7:B8"/>
    <mergeCell ref="C7:C8"/>
    <mergeCell ref="D7:D8"/>
    <mergeCell ref="E7:E8"/>
    <mergeCell ref="F7:F8"/>
    <mergeCell ref="A3:B3"/>
    <mergeCell ref="A4:B4"/>
    <mergeCell ref="A5:B5"/>
    <mergeCell ref="A6:B6"/>
    <mergeCell ref="C1:P1"/>
    <mergeCell ref="C2:P2"/>
    <mergeCell ref="C3:P3"/>
    <mergeCell ref="C4:P4"/>
    <mergeCell ref="C5:P5"/>
    <mergeCell ref="C6:P6"/>
  </mergeCells>
  <conditionalFormatting sqref="C96:C97">
    <cfRule type="cellIs" dxfId="47" priority="49" operator="equal">
      <formula>0</formula>
    </cfRule>
  </conditionalFormatting>
  <conditionalFormatting sqref="A107:E112 G107:M108 F109:L109 H1:O6 P44:XFD48 C85:H87 C83:E84 G83:H84 C66:H66 C65:E65 G65:H65 C68:H69 C67:E67 G67:H67 C74:E78 G74:H78 H8:O8 A70:B71 P70:XFD71 P88:XFD89 C79:H82 A88:B89 F100:G103 E101:E1048576 F104:H108 A1:G8 P1:XFD42 I65:XFD69 A65:D69 C72:H73 A72:D87 I72:XFD87 C90:F95 A90:D1048576 O90:XFD109 I90:N108 E90:H99 G96:O96 G99:O99 Q110:XFD110 F111:XFD1048576 P51:XFD64">
    <cfRule type="cellIs" dxfId="46" priority="45" operator="between">
      <formula>0</formula>
      <formula>0</formula>
    </cfRule>
  </conditionalFormatting>
  <conditionalFormatting sqref="M109 M111:M112">
    <cfRule type="cellIs" dxfId="45" priority="39" operator="between">
      <formula>0</formula>
      <formula>0</formula>
    </cfRule>
  </conditionalFormatting>
  <conditionalFormatting sqref="N109 N111:N112">
    <cfRule type="cellIs" dxfId="44" priority="38" operator="between">
      <formula>0</formula>
      <formula>0</formula>
    </cfRule>
  </conditionalFormatting>
  <conditionalFormatting sqref="P43:XFD43">
    <cfRule type="cellIs" dxfId="43" priority="34" operator="between">
      <formula>0</formula>
      <formula>0</formula>
    </cfRule>
  </conditionalFormatting>
  <conditionalFormatting sqref="F83:F84">
    <cfRule type="cellIs" dxfId="42" priority="28" operator="between">
      <formula>0</formula>
      <formula>0</formula>
    </cfRule>
  </conditionalFormatting>
  <conditionalFormatting sqref="F65">
    <cfRule type="cellIs" dxfId="41" priority="26" operator="between">
      <formula>0</formula>
      <formula>0</formula>
    </cfRule>
  </conditionalFormatting>
  <conditionalFormatting sqref="F67">
    <cfRule type="cellIs" dxfId="40" priority="25" operator="between">
      <formula>0</formula>
      <formula>0</formula>
    </cfRule>
  </conditionalFormatting>
  <conditionalFormatting sqref="F74">
    <cfRule type="cellIs" dxfId="39" priority="24" operator="between">
      <formula>0</formula>
      <formula>0</formula>
    </cfRule>
  </conditionalFormatting>
  <conditionalFormatting sqref="F75">
    <cfRule type="cellIs" dxfId="38" priority="23" operator="between">
      <formula>0</formula>
      <formula>0</formula>
    </cfRule>
  </conditionalFormatting>
  <conditionalFormatting sqref="F76 F78">
    <cfRule type="cellIs" dxfId="37" priority="22" operator="between">
      <formula>0</formula>
      <formula>0</formula>
    </cfRule>
  </conditionalFormatting>
  <conditionalFormatting sqref="F77">
    <cfRule type="cellIs" dxfId="36" priority="21" operator="between">
      <formula>0</formula>
      <formula>0</formula>
    </cfRule>
  </conditionalFormatting>
  <conditionalFormatting sqref="C70:O71">
    <cfRule type="cellIs" dxfId="35" priority="20" operator="between">
      <formula>0</formula>
      <formula>0</formula>
    </cfRule>
  </conditionalFormatting>
  <conditionalFormatting sqref="C88:O89">
    <cfRule type="cellIs" dxfId="34" priority="19" operator="between">
      <formula>0</formula>
      <formula>0</formula>
    </cfRule>
  </conditionalFormatting>
  <conditionalFormatting sqref="H100:H103">
    <cfRule type="cellIs" dxfId="33" priority="18" operator="between">
      <formula>0</formula>
      <formula>0</formula>
    </cfRule>
  </conditionalFormatting>
  <conditionalFormatting sqref="P49:XFD50">
    <cfRule type="cellIs" dxfId="32" priority="17" operator="between">
      <formula>0</formula>
      <formula>0</formula>
    </cfRule>
  </conditionalFormatting>
  <conditionalFormatting sqref="F110:L110 O110:P110">
    <cfRule type="cellIs" dxfId="31" priority="15" operator="between">
      <formula>0</formula>
      <formula>0</formula>
    </cfRule>
  </conditionalFormatting>
  <conditionalFormatting sqref="M110">
    <cfRule type="cellIs" dxfId="30" priority="14" operator="between">
      <formula>0</formula>
      <formula>0</formula>
    </cfRule>
  </conditionalFormatting>
  <conditionalFormatting sqref="N110">
    <cfRule type="cellIs" dxfId="29" priority="13" operator="between">
      <formula>0</formula>
      <formula>0</formula>
    </cfRule>
  </conditionalFormatting>
  <conditionalFormatting sqref="C57:C58">
    <cfRule type="cellIs" dxfId="28" priority="12" operator="equal">
      <formula>0</formula>
    </cfRule>
  </conditionalFormatting>
  <conditionalFormatting sqref="F61:G61 A57:D64 E57:O60 A9:O11 E62:H64 A13:O16 A19:O49 A52:O53 A54:B55 G54:O55 I61:O61 A56:O56 I63:O63 J62:O62 J64:O64">
    <cfRule type="cellIs" dxfId="27" priority="11" operator="between">
      <formula>0</formula>
      <formula>0</formula>
    </cfRule>
  </conditionalFormatting>
  <conditionalFormatting sqref="A50:O50 A51:E51 G51:O51">
    <cfRule type="cellIs" dxfId="26" priority="10" operator="between">
      <formula>0</formula>
      <formula>0</formula>
    </cfRule>
  </conditionalFormatting>
  <conditionalFormatting sqref="A12:O12">
    <cfRule type="cellIs" dxfId="25" priority="9" operator="between">
      <formula>0</formula>
      <formula>0</formula>
    </cfRule>
  </conditionalFormatting>
  <conditionalFormatting sqref="A17:O17">
    <cfRule type="cellIs" dxfId="24" priority="8" operator="between">
      <formula>0</formula>
      <formula>0</formula>
    </cfRule>
  </conditionalFormatting>
  <conditionalFormatting sqref="A18:O18">
    <cfRule type="cellIs" dxfId="23" priority="7" operator="between">
      <formula>0</formula>
      <formula>0</formula>
    </cfRule>
  </conditionalFormatting>
  <conditionalFormatting sqref="F51">
    <cfRule type="cellIs" dxfId="22" priority="6" operator="between">
      <formula>0</formula>
      <formula>0</formula>
    </cfRule>
  </conditionalFormatting>
  <conditionalFormatting sqref="C55:F55">
    <cfRule type="cellIs" dxfId="21" priority="5" operator="between">
      <formula>0</formula>
      <formula>0</formula>
    </cfRule>
  </conditionalFormatting>
  <conditionalFormatting sqref="C54:E54">
    <cfRule type="cellIs" dxfId="20" priority="4" operator="between">
      <formula>0</formula>
      <formula>0</formula>
    </cfRule>
  </conditionalFormatting>
  <conditionalFormatting sqref="F54">
    <cfRule type="cellIs" dxfId="19" priority="3" operator="between">
      <formula>0</formula>
      <formula>0</formula>
    </cfRule>
  </conditionalFormatting>
  <conditionalFormatting sqref="I62">
    <cfRule type="cellIs" dxfId="18" priority="2" operator="between">
      <formula>0</formula>
      <formula>0</formula>
    </cfRule>
  </conditionalFormatting>
  <conditionalFormatting sqref="I64">
    <cfRule type="cellIs" dxfId="17" priority="1" operator="between">
      <formula>0</formula>
      <formula>0</formula>
    </cfRule>
  </conditionalFormatting>
  <pageMargins left="0.34" right="0.39" top="0.88" bottom="0.8" header="0.4" footer="0.3"/>
  <pageSetup scale="80" orientation="landscape" r:id="rId1"/>
  <headerFooter>
    <oddFooter>&amp;CPage no &amp;P  MB  -1021</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0"/>
  <sheetViews>
    <sheetView view="pageBreakPreview" topLeftCell="A19" zoomScale="85" zoomScaleSheetLayoutView="85" zoomScalePageLayoutView="60" workbookViewId="0">
      <selection activeCell="I33" sqref="I33"/>
    </sheetView>
  </sheetViews>
  <sheetFormatPr defaultColWidth="8.85546875" defaultRowHeight="15"/>
  <cols>
    <col min="1" max="1" width="10.7109375" style="141" customWidth="1"/>
    <col min="2" max="2" width="6" style="141" customWidth="1"/>
    <col min="3" max="3" width="36.28515625" style="141" customWidth="1"/>
    <col min="4" max="4" width="5.85546875" style="163" customWidth="1"/>
    <col min="5" max="5" width="5.28515625" style="141" customWidth="1"/>
    <col min="6" max="6" width="10.7109375" style="141" customWidth="1"/>
    <col min="7" max="7" width="7.140625" style="141" bestFit="1" customWidth="1"/>
    <col min="8" max="9" width="9.28515625" style="141" bestFit="1" customWidth="1"/>
    <col min="10" max="10" width="7.140625" style="141" bestFit="1" customWidth="1"/>
    <col min="11" max="11" width="10.42578125" style="141" bestFit="1" customWidth="1"/>
    <col min="12" max="12" width="9.28515625" style="141" bestFit="1" customWidth="1"/>
    <col min="13" max="13" width="7.28515625" style="141" bestFit="1" customWidth="1"/>
    <col min="14" max="14" width="8.28515625" style="141" bestFit="1" customWidth="1"/>
    <col min="15" max="15" width="10.42578125" style="141" bestFit="1" customWidth="1"/>
    <col min="16" max="16" width="8.140625" style="141" customWidth="1"/>
    <col min="17" max="16384" width="8.85546875" style="141"/>
  </cols>
  <sheetData>
    <row r="1" spans="1:16" ht="34.5" customHeight="1">
      <c r="A1" s="334" t="s">
        <v>10</v>
      </c>
      <c r="B1" s="335"/>
      <c r="C1" s="336" t="s">
        <v>85</v>
      </c>
      <c r="D1" s="337"/>
      <c r="E1" s="337"/>
      <c r="F1" s="337"/>
      <c r="G1" s="337"/>
      <c r="H1" s="337"/>
      <c r="I1" s="337"/>
      <c r="J1" s="337"/>
      <c r="K1" s="337"/>
      <c r="L1" s="337"/>
      <c r="M1" s="337"/>
      <c r="N1" s="337"/>
      <c r="O1" s="337"/>
      <c r="P1" s="338"/>
    </row>
    <row r="2" spans="1:16" ht="21" customHeight="1">
      <c r="A2" s="339" t="s">
        <v>94</v>
      </c>
      <c r="B2" s="340"/>
      <c r="C2" s="341" t="s">
        <v>88</v>
      </c>
      <c r="D2" s="342"/>
      <c r="E2" s="342"/>
      <c r="F2" s="342"/>
      <c r="G2" s="342"/>
      <c r="H2" s="342"/>
      <c r="I2" s="342"/>
      <c r="J2" s="342"/>
      <c r="K2" s="342"/>
      <c r="L2" s="342"/>
      <c r="M2" s="342"/>
      <c r="N2" s="342"/>
      <c r="O2" s="342"/>
      <c r="P2" s="343"/>
    </row>
    <row r="3" spans="1:16" ht="30" customHeight="1">
      <c r="A3" s="339" t="s">
        <v>11</v>
      </c>
      <c r="B3" s="340"/>
      <c r="C3" s="344" t="s">
        <v>89</v>
      </c>
      <c r="D3" s="345"/>
      <c r="E3" s="345"/>
      <c r="F3" s="345"/>
      <c r="G3" s="345"/>
      <c r="H3" s="345"/>
      <c r="I3" s="345"/>
      <c r="J3" s="345"/>
      <c r="K3" s="345"/>
      <c r="L3" s="345"/>
      <c r="M3" s="345"/>
      <c r="N3" s="345"/>
      <c r="O3" s="345"/>
      <c r="P3" s="346"/>
    </row>
    <row r="4" spans="1:16">
      <c r="A4" s="339" t="s">
        <v>12</v>
      </c>
      <c r="B4" s="340"/>
      <c r="C4" s="341" t="s">
        <v>90</v>
      </c>
      <c r="D4" s="342"/>
      <c r="E4" s="342"/>
      <c r="F4" s="342"/>
      <c r="G4" s="342"/>
      <c r="H4" s="342"/>
      <c r="I4" s="342"/>
      <c r="J4" s="342"/>
      <c r="K4" s="342"/>
      <c r="L4" s="342"/>
      <c r="M4" s="342"/>
      <c r="N4" s="342"/>
      <c r="O4" s="342"/>
      <c r="P4" s="343"/>
    </row>
    <row r="5" spans="1:16">
      <c r="A5" s="339" t="s">
        <v>13</v>
      </c>
      <c r="B5" s="340"/>
      <c r="C5" s="341" t="s">
        <v>91</v>
      </c>
      <c r="D5" s="342"/>
      <c r="E5" s="342"/>
      <c r="F5" s="342"/>
      <c r="G5" s="342"/>
      <c r="H5" s="342"/>
      <c r="I5" s="342"/>
      <c r="J5" s="342"/>
      <c r="K5" s="342"/>
      <c r="L5" s="342"/>
      <c r="M5" s="342"/>
      <c r="N5" s="342"/>
      <c r="O5" s="342"/>
      <c r="P5" s="343"/>
    </row>
    <row r="6" spans="1:16">
      <c r="A6" s="347" t="s">
        <v>14</v>
      </c>
      <c r="B6" s="348"/>
      <c r="C6" s="349" t="s">
        <v>115</v>
      </c>
      <c r="D6" s="350"/>
      <c r="E6" s="350"/>
      <c r="F6" s="350"/>
      <c r="G6" s="350"/>
      <c r="H6" s="350"/>
      <c r="I6" s="350"/>
      <c r="J6" s="350"/>
      <c r="K6" s="350"/>
      <c r="L6" s="350"/>
      <c r="M6" s="350"/>
      <c r="N6" s="350"/>
      <c r="O6" s="350"/>
      <c r="P6" s="351"/>
    </row>
    <row r="7" spans="1:16" ht="24" customHeight="1">
      <c r="A7" s="356" t="s">
        <v>3</v>
      </c>
      <c r="B7" s="356" t="s">
        <v>15</v>
      </c>
      <c r="C7" s="357" t="s">
        <v>4</v>
      </c>
      <c r="D7" s="355" t="s">
        <v>5</v>
      </c>
      <c r="E7" s="355" t="s">
        <v>6</v>
      </c>
      <c r="F7" s="355" t="s">
        <v>7</v>
      </c>
      <c r="G7" s="352" t="s">
        <v>8</v>
      </c>
      <c r="H7" s="353"/>
      <c r="I7" s="353"/>
      <c r="J7" s="353"/>
      <c r="K7" s="353"/>
      <c r="L7" s="353"/>
      <c r="M7" s="353"/>
      <c r="N7" s="353"/>
      <c r="O7" s="354"/>
      <c r="P7" s="355" t="s">
        <v>9</v>
      </c>
    </row>
    <row r="8" spans="1:16" ht="28.5" customHeight="1">
      <c r="A8" s="356"/>
      <c r="B8" s="356"/>
      <c r="C8" s="357"/>
      <c r="D8" s="355"/>
      <c r="E8" s="355"/>
      <c r="F8" s="355"/>
      <c r="G8" s="142">
        <v>8</v>
      </c>
      <c r="H8" s="142">
        <v>10</v>
      </c>
      <c r="I8" s="142">
        <v>12</v>
      </c>
      <c r="J8" s="142">
        <v>16</v>
      </c>
      <c r="K8" s="142">
        <v>20</v>
      </c>
      <c r="L8" s="142">
        <v>25</v>
      </c>
      <c r="M8" s="142">
        <v>28</v>
      </c>
      <c r="N8" s="142">
        <v>32</v>
      </c>
      <c r="O8" s="142">
        <v>36</v>
      </c>
      <c r="P8" s="355"/>
    </row>
    <row r="9" spans="1:16" ht="20.100000000000001" customHeight="1">
      <c r="A9" s="251" t="s">
        <v>155</v>
      </c>
      <c r="B9" s="252">
        <v>8</v>
      </c>
      <c r="C9" s="253" t="s">
        <v>156</v>
      </c>
      <c r="D9" s="254"/>
      <c r="E9" s="255"/>
      <c r="F9" s="256"/>
      <c r="G9" s="257"/>
      <c r="H9" s="257"/>
      <c r="I9" s="257"/>
      <c r="J9" s="257"/>
      <c r="K9" s="257"/>
      <c r="L9" s="257"/>
      <c r="M9" s="257"/>
      <c r="N9" s="257"/>
      <c r="O9" s="257"/>
      <c r="P9" s="82"/>
    </row>
    <row r="10" spans="1:16" ht="20.100000000000001" customHeight="1">
      <c r="A10" s="251"/>
      <c r="B10" s="252"/>
      <c r="C10" s="253" t="s">
        <v>193</v>
      </c>
      <c r="D10" s="254"/>
      <c r="E10" s="255"/>
      <c r="F10" s="256"/>
      <c r="G10" s="257"/>
      <c r="H10" s="257"/>
      <c r="I10" s="257"/>
      <c r="J10" s="257"/>
      <c r="K10" s="257"/>
      <c r="L10" s="257"/>
      <c r="M10" s="257"/>
      <c r="N10" s="257"/>
      <c r="O10" s="257"/>
      <c r="P10" s="82"/>
    </row>
    <row r="11" spans="1:16" ht="20.100000000000001" customHeight="1">
      <c r="A11" s="258"/>
      <c r="B11" s="255"/>
      <c r="C11" s="81" t="s">
        <v>158</v>
      </c>
      <c r="D11" s="83">
        <v>20</v>
      </c>
      <c r="E11" s="81">
        <f>20*4</f>
        <v>80</v>
      </c>
      <c r="F11" s="143">
        <f>+(3-0.15-0.08)+((1.5-0.15)*2)</f>
        <v>5.4700000000000006</v>
      </c>
      <c r="G11" s="257" t="str">
        <f t="shared" ref="G11:G22" si="0">IF(D11 = 8,E11*F11," -")</f>
        <v xml:space="preserve"> -</v>
      </c>
      <c r="H11" s="257" t="str">
        <f t="shared" ref="H11:H22" si="1">IF(D11 = 10,E11*F11," -")</f>
        <v xml:space="preserve"> -</v>
      </c>
      <c r="I11" s="257" t="str">
        <f t="shared" ref="I11:I22" si="2">IF(D11=12,E11*F11,"-")</f>
        <v>-</v>
      </c>
      <c r="J11" s="257" t="str">
        <f t="shared" ref="J11:J22" si="3">IF(D11=16,E11*F11,"-")</f>
        <v>-</v>
      </c>
      <c r="K11" s="257">
        <f t="shared" ref="K11:K22" si="4">IF(D11=20,E11*F11,"-")</f>
        <v>437.6</v>
      </c>
      <c r="L11" s="257" t="str">
        <f t="shared" ref="L11:L22" si="5">IF(D11=25,E11*F11,"-")</f>
        <v>-</v>
      </c>
      <c r="M11" s="257" t="str">
        <f t="shared" ref="M11:M22" si="6">IF(D11=28,E11*F11,"-")</f>
        <v>-</v>
      </c>
      <c r="N11" s="257" t="str">
        <f t="shared" ref="N11:N22" si="7">IF(D11=32,E11*F11,"-")</f>
        <v>-</v>
      </c>
      <c r="O11" s="257" t="str">
        <f>IF(D11=36,E11*F11,"-")</f>
        <v>-</v>
      </c>
      <c r="P11" s="82"/>
    </row>
    <row r="12" spans="1:16" ht="20.100000000000001" customHeight="1">
      <c r="A12" s="258"/>
      <c r="B12" s="255"/>
      <c r="C12" s="81" t="s">
        <v>160</v>
      </c>
      <c r="D12" s="83">
        <v>20</v>
      </c>
      <c r="E12" s="81">
        <f>20*4</f>
        <v>80</v>
      </c>
      <c r="F12" s="143">
        <f>+(3-0.15-0.08)+((1.5-0.15-0.04)*2)</f>
        <v>5.3900000000000006</v>
      </c>
      <c r="G12" s="257" t="str">
        <f t="shared" si="0"/>
        <v xml:space="preserve"> -</v>
      </c>
      <c r="H12" s="257" t="str">
        <f t="shared" si="1"/>
        <v xml:space="preserve"> -</v>
      </c>
      <c r="I12" s="257" t="str">
        <f t="shared" si="2"/>
        <v>-</v>
      </c>
      <c r="J12" s="257" t="str">
        <f t="shared" si="3"/>
        <v>-</v>
      </c>
      <c r="K12" s="257">
        <f t="shared" si="4"/>
        <v>431.20000000000005</v>
      </c>
      <c r="L12" s="257" t="str">
        <f t="shared" si="5"/>
        <v>-</v>
      </c>
      <c r="M12" s="257" t="str">
        <f t="shared" si="6"/>
        <v>-</v>
      </c>
      <c r="N12" s="257" t="str">
        <f t="shared" si="7"/>
        <v>-</v>
      </c>
      <c r="O12" s="257" t="str">
        <f>IF(D12=36,E12*F12,"-")</f>
        <v>-</v>
      </c>
      <c r="P12" s="82"/>
    </row>
    <row r="13" spans="1:16" ht="20.100000000000001" customHeight="1">
      <c r="A13" s="258"/>
      <c r="B13" s="255"/>
      <c r="C13" s="81" t="s">
        <v>166</v>
      </c>
      <c r="D13" s="147">
        <v>20</v>
      </c>
      <c r="E13" s="148">
        <f>6*4</f>
        <v>24</v>
      </c>
      <c r="F13" s="149">
        <f>+(3-0.15-0.04)*4</f>
        <v>11.24</v>
      </c>
      <c r="G13" s="257" t="str">
        <f t="shared" si="0"/>
        <v xml:space="preserve"> -</v>
      </c>
      <c r="H13" s="257" t="str">
        <f t="shared" si="1"/>
        <v xml:space="preserve"> -</v>
      </c>
      <c r="I13" s="257" t="str">
        <f t="shared" si="2"/>
        <v>-</v>
      </c>
      <c r="J13" s="257" t="str">
        <f t="shared" si="3"/>
        <v>-</v>
      </c>
      <c r="K13" s="257">
        <f t="shared" si="4"/>
        <v>269.76</v>
      </c>
      <c r="L13" s="257" t="str">
        <f t="shared" si="5"/>
        <v>-</v>
      </c>
      <c r="M13" s="257" t="str">
        <f t="shared" si="6"/>
        <v>-</v>
      </c>
      <c r="N13" s="257" t="str">
        <f t="shared" si="7"/>
        <v>-</v>
      </c>
      <c r="O13" s="257" t="str">
        <f t="shared" ref="O13:O22" si="8">IF(D13=36,E13*F13,"-")</f>
        <v>-</v>
      </c>
      <c r="P13" s="82"/>
    </row>
    <row r="14" spans="1:16" ht="20.100000000000001" customHeight="1">
      <c r="A14" s="258"/>
      <c r="B14" s="255"/>
      <c r="C14" s="150" t="s">
        <v>167</v>
      </c>
      <c r="D14" s="83">
        <v>20</v>
      </c>
      <c r="E14" s="81">
        <f>12*4</f>
        <v>48</v>
      </c>
      <c r="F14" s="143">
        <v>0.94</v>
      </c>
      <c r="G14" s="257" t="str">
        <f t="shared" si="0"/>
        <v xml:space="preserve"> -</v>
      </c>
      <c r="H14" s="257" t="str">
        <f t="shared" si="1"/>
        <v xml:space="preserve"> -</v>
      </c>
      <c r="I14" s="257" t="str">
        <f t="shared" si="2"/>
        <v>-</v>
      </c>
      <c r="J14" s="257" t="str">
        <f t="shared" si="3"/>
        <v>-</v>
      </c>
      <c r="K14" s="257">
        <f t="shared" si="4"/>
        <v>45.12</v>
      </c>
      <c r="L14" s="257" t="str">
        <f t="shared" si="5"/>
        <v>-</v>
      </c>
      <c r="M14" s="257" t="str">
        <f t="shared" si="6"/>
        <v>-</v>
      </c>
      <c r="N14" s="257" t="str">
        <f t="shared" si="7"/>
        <v>-</v>
      </c>
      <c r="O14" s="257" t="str">
        <f t="shared" si="8"/>
        <v>-</v>
      </c>
      <c r="P14" s="82"/>
    </row>
    <row r="15" spans="1:16" ht="20.100000000000001" customHeight="1">
      <c r="A15" s="258"/>
      <c r="B15" s="255"/>
      <c r="C15" s="150" t="s">
        <v>194</v>
      </c>
      <c r="D15" s="147">
        <v>20</v>
      </c>
      <c r="E15" s="148">
        <f>20*4</f>
        <v>80</v>
      </c>
      <c r="F15" s="143">
        <f>+(3-0.15-0.08)+((1.5-0.15-0.04)*2)</f>
        <v>5.3900000000000006</v>
      </c>
      <c r="G15" s="257" t="str">
        <f t="shared" si="0"/>
        <v xml:space="preserve"> -</v>
      </c>
      <c r="H15" s="257" t="str">
        <f t="shared" si="1"/>
        <v xml:space="preserve"> -</v>
      </c>
      <c r="I15" s="257" t="str">
        <f t="shared" si="2"/>
        <v>-</v>
      </c>
      <c r="J15" s="257" t="str">
        <f t="shared" si="3"/>
        <v>-</v>
      </c>
      <c r="K15" s="257">
        <f t="shared" si="4"/>
        <v>431.20000000000005</v>
      </c>
      <c r="L15" s="257" t="str">
        <f t="shared" si="5"/>
        <v>-</v>
      </c>
      <c r="M15" s="257" t="str">
        <f t="shared" si="6"/>
        <v>-</v>
      </c>
      <c r="N15" s="257" t="str">
        <f t="shared" si="7"/>
        <v>-</v>
      </c>
      <c r="O15" s="257" t="str">
        <f t="shared" si="8"/>
        <v>-</v>
      </c>
      <c r="P15" s="82"/>
    </row>
    <row r="16" spans="1:16" ht="20.100000000000001" customHeight="1">
      <c r="A16" s="258"/>
      <c r="B16" s="255"/>
      <c r="C16" s="150" t="s">
        <v>195</v>
      </c>
      <c r="D16" s="83">
        <v>20</v>
      </c>
      <c r="E16" s="81">
        <f>20*4</f>
        <v>80</v>
      </c>
      <c r="F16" s="143">
        <f>+(3-0.15-0.08)+((1.5-0.15)*2)</f>
        <v>5.4700000000000006</v>
      </c>
      <c r="G16" s="257" t="str">
        <f t="shared" si="0"/>
        <v xml:space="preserve"> -</v>
      </c>
      <c r="H16" s="257" t="str">
        <f t="shared" si="1"/>
        <v xml:space="preserve"> -</v>
      </c>
      <c r="I16" s="257" t="str">
        <f t="shared" si="2"/>
        <v>-</v>
      </c>
      <c r="J16" s="257" t="str">
        <f t="shared" si="3"/>
        <v>-</v>
      </c>
      <c r="K16" s="257">
        <f t="shared" si="4"/>
        <v>437.6</v>
      </c>
      <c r="L16" s="257" t="str">
        <f t="shared" si="5"/>
        <v>-</v>
      </c>
      <c r="M16" s="257" t="str">
        <f t="shared" si="6"/>
        <v>-</v>
      </c>
      <c r="N16" s="257" t="str">
        <f t="shared" si="7"/>
        <v>-</v>
      </c>
      <c r="O16" s="257" t="str">
        <f t="shared" si="8"/>
        <v>-</v>
      </c>
      <c r="P16" s="82"/>
    </row>
    <row r="17" spans="1:16" ht="20.100000000000001" customHeight="1">
      <c r="A17" s="258"/>
      <c r="B17" s="255"/>
      <c r="C17" s="151" t="s">
        <v>196</v>
      </c>
      <c r="D17" s="83"/>
      <c r="E17" s="81"/>
      <c r="F17" s="82"/>
      <c r="G17" s="257"/>
      <c r="H17" s="257"/>
      <c r="I17" s="257"/>
      <c r="J17" s="257"/>
      <c r="K17" s="257"/>
      <c r="L17" s="257"/>
      <c r="M17" s="257"/>
      <c r="N17" s="257"/>
      <c r="O17" s="257"/>
      <c r="P17" s="82"/>
    </row>
    <row r="18" spans="1:16" ht="20.100000000000001" customHeight="1">
      <c r="A18" s="258"/>
      <c r="B18" s="255"/>
      <c r="C18" s="152" t="s">
        <v>169</v>
      </c>
      <c r="D18" s="83">
        <v>36</v>
      </c>
      <c r="E18" s="144">
        <f>16*4</f>
        <v>64</v>
      </c>
      <c r="F18" s="153">
        <f>1.5-0.075-0.04-0.036-0.036+0.374</f>
        <v>1.6869999999999998</v>
      </c>
      <c r="G18" s="257" t="str">
        <f t="shared" si="0"/>
        <v xml:space="preserve"> -</v>
      </c>
      <c r="H18" s="257" t="str">
        <f t="shared" si="1"/>
        <v xml:space="preserve"> -</v>
      </c>
      <c r="I18" s="257" t="str">
        <f t="shared" si="2"/>
        <v>-</v>
      </c>
      <c r="J18" s="257" t="str">
        <f t="shared" si="3"/>
        <v>-</v>
      </c>
      <c r="K18" s="257" t="str">
        <f t="shared" si="4"/>
        <v>-</v>
      </c>
      <c r="L18" s="257" t="str">
        <f t="shared" si="5"/>
        <v>-</v>
      </c>
      <c r="M18" s="257" t="str">
        <f t="shared" si="6"/>
        <v>-</v>
      </c>
      <c r="N18" s="257" t="str">
        <f t="shared" si="7"/>
        <v>-</v>
      </c>
      <c r="O18" s="257">
        <f t="shared" si="8"/>
        <v>107.96799999999999</v>
      </c>
      <c r="P18" s="81"/>
    </row>
    <row r="19" spans="1:16" ht="20.100000000000001" customHeight="1">
      <c r="A19" s="258"/>
      <c r="B19" s="255"/>
      <c r="C19" s="152" t="s">
        <v>177</v>
      </c>
      <c r="D19" s="83">
        <v>10</v>
      </c>
      <c r="E19" s="81">
        <f>4*15</f>
        <v>60</v>
      </c>
      <c r="F19" s="82">
        <f>+((1-0.1-0.04)*2+((0.75-0.1)*2)+(0.1*2))</f>
        <v>3.22</v>
      </c>
      <c r="G19" s="257" t="str">
        <f t="shared" si="0"/>
        <v xml:space="preserve"> -</v>
      </c>
      <c r="H19" s="257">
        <f t="shared" si="1"/>
        <v>193.20000000000002</v>
      </c>
      <c r="I19" s="257" t="str">
        <f t="shared" si="2"/>
        <v>-</v>
      </c>
      <c r="J19" s="257" t="str">
        <f t="shared" si="3"/>
        <v>-</v>
      </c>
      <c r="K19" s="257" t="str">
        <f t="shared" si="4"/>
        <v>-</v>
      </c>
      <c r="L19" s="257" t="str">
        <f t="shared" si="5"/>
        <v>-</v>
      </c>
      <c r="M19" s="257" t="str">
        <f t="shared" si="6"/>
        <v>-</v>
      </c>
      <c r="N19" s="257" t="str">
        <f t="shared" si="7"/>
        <v>-</v>
      </c>
      <c r="O19" s="257" t="str">
        <f t="shared" si="8"/>
        <v>-</v>
      </c>
      <c r="P19" s="81"/>
    </row>
    <row r="20" spans="1:16" ht="20.100000000000001" customHeight="1">
      <c r="A20" s="258"/>
      <c r="B20" s="255"/>
      <c r="C20" s="152" t="s">
        <v>178</v>
      </c>
      <c r="D20" s="83">
        <v>10</v>
      </c>
      <c r="E20" s="81">
        <f>14*2*4</f>
        <v>112</v>
      </c>
      <c r="F20" s="82">
        <f>+((1-0.1-0.04)*2+(0.281*2)+0.2)</f>
        <v>2.4820000000000002</v>
      </c>
      <c r="G20" s="257" t="str">
        <f t="shared" si="0"/>
        <v xml:space="preserve"> -</v>
      </c>
      <c r="H20" s="257">
        <f t="shared" si="1"/>
        <v>277.98400000000004</v>
      </c>
      <c r="I20" s="257" t="str">
        <f t="shared" si="2"/>
        <v>-</v>
      </c>
      <c r="J20" s="257" t="str">
        <f t="shared" si="3"/>
        <v>-</v>
      </c>
      <c r="K20" s="257" t="str">
        <f t="shared" si="4"/>
        <v>-</v>
      </c>
      <c r="L20" s="257" t="str">
        <f t="shared" si="5"/>
        <v>-</v>
      </c>
      <c r="M20" s="257" t="str">
        <f t="shared" si="6"/>
        <v>-</v>
      </c>
      <c r="N20" s="257" t="str">
        <f t="shared" si="7"/>
        <v>-</v>
      </c>
      <c r="O20" s="257" t="str">
        <f t="shared" si="8"/>
        <v>-</v>
      </c>
      <c r="P20" s="81"/>
    </row>
    <row r="21" spans="1:16" ht="20.100000000000001" customHeight="1">
      <c r="A21" s="258"/>
      <c r="B21" s="255"/>
      <c r="C21" s="152" t="s">
        <v>197</v>
      </c>
      <c r="D21" s="83">
        <v>10</v>
      </c>
      <c r="E21" s="81">
        <f>14*2*4</f>
        <v>112</v>
      </c>
      <c r="F21" s="82">
        <f>0.9+0.1+0.1</f>
        <v>1.1000000000000001</v>
      </c>
      <c r="G21" s="257" t="str">
        <f t="shared" si="0"/>
        <v xml:space="preserve"> -</v>
      </c>
      <c r="H21" s="257">
        <f t="shared" si="1"/>
        <v>123.20000000000002</v>
      </c>
      <c r="I21" s="257" t="str">
        <f t="shared" si="2"/>
        <v>-</v>
      </c>
      <c r="J21" s="257" t="str">
        <f t="shared" si="3"/>
        <v>-</v>
      </c>
      <c r="K21" s="257" t="str">
        <f t="shared" si="4"/>
        <v>-</v>
      </c>
      <c r="L21" s="257" t="str">
        <f t="shared" si="5"/>
        <v>-</v>
      </c>
      <c r="M21" s="257" t="str">
        <f t="shared" si="6"/>
        <v>-</v>
      </c>
      <c r="N21" s="257" t="str">
        <f t="shared" si="7"/>
        <v>-</v>
      </c>
      <c r="O21" s="257" t="str">
        <f t="shared" si="8"/>
        <v>-</v>
      </c>
      <c r="P21" s="81"/>
    </row>
    <row r="22" spans="1:16" ht="20.100000000000001" customHeight="1">
      <c r="A22" s="258"/>
      <c r="B22" s="255"/>
      <c r="C22" s="84" t="s">
        <v>184</v>
      </c>
      <c r="D22" s="83">
        <v>25</v>
      </c>
      <c r="E22" s="81">
        <f>6*4</f>
        <v>24</v>
      </c>
      <c r="F22" s="82">
        <v>4.18</v>
      </c>
      <c r="G22" s="257" t="str">
        <f t="shared" si="0"/>
        <v xml:space="preserve"> -</v>
      </c>
      <c r="H22" s="257" t="str">
        <f t="shared" si="1"/>
        <v xml:space="preserve"> -</v>
      </c>
      <c r="I22" s="257" t="str">
        <f t="shared" si="2"/>
        <v>-</v>
      </c>
      <c r="J22" s="257" t="str">
        <f t="shared" si="3"/>
        <v>-</v>
      </c>
      <c r="K22" s="257" t="str">
        <f t="shared" si="4"/>
        <v>-</v>
      </c>
      <c r="L22" s="257">
        <f t="shared" si="5"/>
        <v>100.32</v>
      </c>
      <c r="M22" s="257" t="str">
        <f t="shared" si="6"/>
        <v>-</v>
      </c>
      <c r="N22" s="257" t="str">
        <f t="shared" si="7"/>
        <v>-</v>
      </c>
      <c r="O22" s="257" t="str">
        <f t="shared" si="8"/>
        <v>-</v>
      </c>
      <c r="P22" s="81"/>
    </row>
    <row r="23" spans="1:16" ht="20.100000000000001" customHeight="1">
      <c r="A23" s="258"/>
      <c r="B23" s="255"/>
      <c r="C23" s="260"/>
      <c r="D23" s="261"/>
      <c r="E23" s="262"/>
      <c r="F23" s="262"/>
      <c r="G23" s="263">
        <f t="shared" ref="G23:O23" si="9">SUM(G11:G22)</f>
        <v>0</v>
      </c>
      <c r="H23" s="263">
        <f t="shared" si="9"/>
        <v>594.38400000000013</v>
      </c>
      <c r="I23" s="263">
        <f t="shared" si="9"/>
        <v>0</v>
      </c>
      <c r="J23" s="263">
        <f t="shared" si="9"/>
        <v>0</v>
      </c>
      <c r="K23" s="263">
        <f t="shared" si="9"/>
        <v>2052.48</v>
      </c>
      <c r="L23" s="263">
        <f t="shared" si="9"/>
        <v>100.32</v>
      </c>
      <c r="M23" s="263">
        <f t="shared" si="9"/>
        <v>0</v>
      </c>
      <c r="N23" s="263">
        <f t="shared" si="9"/>
        <v>0</v>
      </c>
      <c r="O23" s="263">
        <f t="shared" si="9"/>
        <v>107.96799999999999</v>
      </c>
      <c r="P23" s="81"/>
    </row>
    <row r="24" spans="1:16" ht="20.100000000000001" customHeight="1">
      <c r="A24" s="258"/>
      <c r="B24" s="255"/>
      <c r="C24" s="260"/>
      <c r="D24" s="261"/>
      <c r="E24" s="262"/>
      <c r="F24" s="262"/>
      <c r="G24" s="263"/>
      <c r="H24" s="263"/>
      <c r="I24" s="263"/>
      <c r="J24" s="263"/>
      <c r="K24" s="263"/>
      <c r="L24" s="263"/>
      <c r="M24" s="263"/>
      <c r="N24" s="263"/>
      <c r="O24" s="263"/>
      <c r="P24" s="82"/>
    </row>
    <row r="25" spans="1:16" ht="20.100000000000001" customHeight="1">
      <c r="A25" s="258"/>
      <c r="B25" s="255"/>
      <c r="C25" s="264" t="s">
        <v>185</v>
      </c>
      <c r="D25" s="261"/>
      <c r="E25" s="262"/>
      <c r="F25" s="262"/>
      <c r="G25" s="265">
        <v>0.39500000000000002</v>
      </c>
      <c r="H25" s="265">
        <v>0.61699999999999999</v>
      </c>
      <c r="I25" s="265">
        <v>0.88800000000000001</v>
      </c>
      <c r="J25" s="266">
        <v>1.5780000000000001</v>
      </c>
      <c r="K25" s="266">
        <v>2.4660000000000002</v>
      </c>
      <c r="L25" s="266">
        <v>3.8530000000000002</v>
      </c>
      <c r="M25" s="266">
        <v>4.8339999999999996</v>
      </c>
      <c r="N25" s="266">
        <v>6.3129999999999997</v>
      </c>
      <c r="O25" s="266">
        <v>7.99</v>
      </c>
      <c r="P25" s="82"/>
    </row>
    <row r="26" spans="1:16" ht="20.100000000000001" customHeight="1">
      <c r="A26" s="258"/>
      <c r="B26" s="255"/>
      <c r="C26" s="264" t="s">
        <v>186</v>
      </c>
      <c r="D26" s="261"/>
      <c r="E26" s="262"/>
      <c r="F26" s="262"/>
      <c r="G26" s="267">
        <f t="shared" ref="G26:O26" si="10">ROUND(G25*G23,3)</f>
        <v>0</v>
      </c>
      <c r="H26" s="267">
        <f t="shared" si="10"/>
        <v>366.73500000000001</v>
      </c>
      <c r="I26" s="267">
        <f t="shared" si="10"/>
        <v>0</v>
      </c>
      <c r="J26" s="267">
        <f t="shared" si="10"/>
        <v>0</v>
      </c>
      <c r="K26" s="267">
        <f t="shared" si="10"/>
        <v>5061.4160000000002</v>
      </c>
      <c r="L26" s="267">
        <f t="shared" si="10"/>
        <v>386.53300000000002</v>
      </c>
      <c r="M26" s="267">
        <f t="shared" si="10"/>
        <v>0</v>
      </c>
      <c r="N26" s="267">
        <f t="shared" si="10"/>
        <v>0</v>
      </c>
      <c r="O26" s="267">
        <f t="shared" si="10"/>
        <v>862.66399999999999</v>
      </c>
      <c r="P26" s="82"/>
    </row>
    <row r="27" spans="1:16" ht="45">
      <c r="A27" s="258"/>
      <c r="B27" s="274" t="s">
        <v>187</v>
      </c>
      <c r="C27" s="275" t="s">
        <v>188</v>
      </c>
      <c r="D27" s="254"/>
      <c r="E27" s="268"/>
      <c r="F27" s="276">
        <f>SUM(G26:K26)</f>
        <v>5428.1509999999998</v>
      </c>
      <c r="G27" s="89" t="s">
        <v>189</v>
      </c>
      <c r="H27" s="277"/>
      <c r="I27" s="255"/>
      <c r="J27" s="255"/>
      <c r="K27" s="255"/>
      <c r="L27" s="255"/>
      <c r="M27" s="255"/>
      <c r="N27" s="255"/>
      <c r="O27" s="255"/>
      <c r="P27" s="82"/>
    </row>
    <row r="28" spans="1:16" ht="20.100000000000001" customHeight="1">
      <c r="A28" s="258"/>
      <c r="B28" s="255"/>
      <c r="C28" s="269"/>
      <c r="D28" s="254"/>
      <c r="E28" s="255"/>
      <c r="F28" s="273"/>
      <c r="G28" s="90">
        <f>F27/1000</f>
        <v>5.4281509999999997</v>
      </c>
      <c r="H28" s="89" t="s">
        <v>190</v>
      </c>
      <c r="I28" s="86" t="s">
        <v>203</v>
      </c>
      <c r="J28" s="255"/>
      <c r="K28" s="255"/>
      <c r="L28" s="255"/>
      <c r="M28" s="255"/>
      <c r="N28" s="255"/>
      <c r="O28" s="255"/>
      <c r="P28" s="82"/>
    </row>
    <row r="29" spans="1:16" ht="45">
      <c r="A29" s="258"/>
      <c r="B29" s="274" t="s">
        <v>191</v>
      </c>
      <c r="C29" s="275" t="s">
        <v>192</v>
      </c>
      <c r="D29" s="254"/>
      <c r="E29" s="255"/>
      <c r="F29" s="276">
        <f>SUM(L26:O26)</f>
        <v>1249.1970000000001</v>
      </c>
      <c r="G29" s="89" t="s">
        <v>189</v>
      </c>
      <c r="H29" s="277"/>
      <c r="I29" s="255"/>
      <c r="J29" s="255"/>
      <c r="K29" s="255"/>
      <c r="L29" s="255"/>
      <c r="M29" s="255"/>
      <c r="N29" s="255"/>
      <c r="O29" s="255"/>
      <c r="P29" s="159"/>
    </row>
    <row r="30" spans="1:16" ht="20.100000000000001" customHeight="1" thickBot="1">
      <c r="A30" s="270"/>
      <c r="B30" s="271"/>
      <c r="C30" s="271"/>
      <c r="D30" s="272"/>
      <c r="E30" s="271"/>
      <c r="F30" s="278"/>
      <c r="G30" s="279">
        <f>F29/1000</f>
        <v>1.2491970000000001</v>
      </c>
      <c r="H30" s="280" t="s">
        <v>190</v>
      </c>
      <c r="I30" s="86" t="s">
        <v>203</v>
      </c>
      <c r="J30" s="271"/>
      <c r="K30" s="271"/>
      <c r="L30" s="271"/>
      <c r="M30" s="271"/>
      <c r="N30" s="271"/>
      <c r="O30" s="271"/>
      <c r="P30" s="161"/>
    </row>
    <row r="31" spans="1:16" ht="20.100000000000001" customHeight="1">
      <c r="A31" s="81"/>
      <c r="B31" s="81"/>
      <c r="C31" s="150"/>
      <c r="D31" s="147"/>
      <c r="E31" s="148"/>
      <c r="F31" s="143"/>
      <c r="G31" s="208"/>
      <c r="H31" s="208"/>
      <c r="I31" s="208"/>
      <c r="J31" s="208"/>
      <c r="K31" s="206"/>
      <c r="L31" s="208"/>
      <c r="M31" s="208"/>
      <c r="N31" s="208"/>
      <c r="O31" s="208"/>
      <c r="P31" s="82"/>
    </row>
    <row r="32" spans="1:16" ht="20.100000000000001" customHeight="1">
      <c r="A32" s="81"/>
      <c r="B32" s="81"/>
      <c r="C32" s="150"/>
      <c r="D32" s="83"/>
      <c r="E32" s="81"/>
      <c r="F32" s="143"/>
      <c r="G32" s="208"/>
      <c r="H32" s="208"/>
      <c r="I32" s="208"/>
      <c r="J32" s="208"/>
      <c r="K32" s="206"/>
      <c r="L32" s="208"/>
      <c r="M32" s="208"/>
      <c r="N32" s="208"/>
      <c r="O32" s="208"/>
      <c r="P32" s="82"/>
    </row>
    <row r="33" spans="1:16" ht="20.100000000000001" customHeight="1">
      <c r="A33" s="81"/>
      <c r="B33" s="81"/>
      <c r="C33" s="151"/>
      <c r="D33" s="83"/>
      <c r="E33" s="81"/>
      <c r="F33" s="82"/>
      <c r="G33" s="206"/>
      <c r="H33" s="206"/>
      <c r="I33" s="206"/>
      <c r="J33" s="206"/>
      <c r="K33" s="206"/>
      <c r="L33" s="206"/>
      <c r="M33" s="206"/>
      <c r="N33" s="206"/>
      <c r="O33" s="206"/>
      <c r="P33" s="81"/>
    </row>
    <row r="34" spans="1:16" ht="20.100000000000001" customHeight="1">
      <c r="A34" s="81"/>
      <c r="B34" s="81"/>
      <c r="C34" s="152"/>
      <c r="D34" s="83"/>
      <c r="E34" s="144"/>
      <c r="F34" s="153"/>
      <c r="G34" s="208"/>
      <c r="H34" s="208"/>
      <c r="I34" s="208"/>
      <c r="J34" s="208"/>
      <c r="K34" s="208"/>
      <c r="L34" s="208"/>
      <c r="M34" s="208"/>
      <c r="N34" s="208"/>
      <c r="O34" s="206"/>
      <c r="P34" s="81"/>
    </row>
    <row r="35" spans="1:16" ht="20.100000000000001" customHeight="1">
      <c r="A35" s="81"/>
      <c r="B35" s="81"/>
      <c r="C35" s="152"/>
      <c r="D35" s="83"/>
      <c r="E35" s="81"/>
      <c r="F35" s="82"/>
      <c r="G35" s="208"/>
      <c r="H35" s="206"/>
      <c r="I35" s="208"/>
      <c r="J35" s="208"/>
      <c r="K35" s="208"/>
      <c r="L35" s="208"/>
      <c r="M35" s="208"/>
      <c r="N35" s="208"/>
      <c r="O35" s="208"/>
      <c r="P35" s="81"/>
    </row>
    <row r="36" spans="1:16" ht="20.100000000000001" customHeight="1">
      <c r="A36" s="81"/>
      <c r="B36" s="81"/>
      <c r="C36" s="152"/>
      <c r="D36" s="83"/>
      <c r="E36" s="81"/>
      <c r="F36" s="82"/>
      <c r="G36" s="208"/>
      <c r="H36" s="206"/>
      <c r="I36" s="208"/>
      <c r="J36" s="208"/>
      <c r="K36" s="208"/>
      <c r="L36" s="208"/>
      <c r="M36" s="208"/>
      <c r="N36" s="208"/>
      <c r="O36" s="208"/>
      <c r="P36" s="81"/>
    </row>
    <row r="37" spans="1:16" ht="20.100000000000001" customHeight="1">
      <c r="A37" s="81"/>
      <c r="B37" s="81"/>
      <c r="C37" s="152"/>
      <c r="D37" s="83"/>
      <c r="E37" s="81"/>
      <c r="F37" s="82"/>
      <c r="G37" s="208"/>
      <c r="H37" s="206"/>
      <c r="I37" s="208"/>
      <c r="J37" s="208"/>
      <c r="K37" s="208"/>
      <c r="L37" s="208"/>
      <c r="M37" s="208"/>
      <c r="N37" s="208"/>
      <c r="O37" s="208"/>
      <c r="P37" s="81"/>
    </row>
    <row r="38" spans="1:16" ht="20.100000000000001" customHeight="1">
      <c r="A38" s="81"/>
      <c r="B38" s="81"/>
      <c r="C38" s="152"/>
      <c r="D38" s="83"/>
      <c r="E38" s="81"/>
      <c r="F38" s="82"/>
      <c r="G38" s="208"/>
      <c r="H38" s="206"/>
      <c r="I38" s="208"/>
      <c r="J38" s="208"/>
      <c r="K38" s="208"/>
      <c r="L38" s="208"/>
      <c r="M38" s="208"/>
      <c r="N38" s="208"/>
      <c r="O38" s="208"/>
      <c r="P38" s="81"/>
    </row>
    <row r="39" spans="1:16" ht="20.100000000000001" customHeight="1">
      <c r="A39" s="81"/>
      <c r="B39" s="81"/>
      <c r="C39" s="84"/>
      <c r="D39" s="83"/>
      <c r="E39" s="81"/>
      <c r="F39" s="82"/>
      <c r="G39" s="208"/>
      <c r="H39" s="206"/>
      <c r="I39" s="208"/>
      <c r="J39" s="208"/>
      <c r="K39" s="208"/>
      <c r="L39" s="206"/>
      <c r="M39" s="208"/>
      <c r="N39" s="208"/>
      <c r="O39" s="208"/>
      <c r="P39" s="81"/>
    </row>
    <row r="40" spans="1:16" ht="20.100000000000001" customHeight="1">
      <c r="A40" s="144"/>
      <c r="B40" s="145"/>
      <c r="C40" s="146"/>
      <c r="D40" s="83"/>
      <c r="E40" s="81"/>
      <c r="F40" s="143"/>
      <c r="G40" s="208"/>
      <c r="H40" s="206"/>
      <c r="I40" s="208"/>
      <c r="J40" s="206"/>
      <c r="K40" s="206"/>
      <c r="L40" s="206"/>
      <c r="M40" s="208"/>
      <c r="N40" s="208"/>
      <c r="O40" s="208"/>
      <c r="P40" s="82"/>
    </row>
    <row r="41" spans="1:16" ht="20.100000000000001" customHeight="1">
      <c r="A41" s="81"/>
      <c r="B41" s="81"/>
      <c r="C41" s="81"/>
      <c r="D41" s="83"/>
      <c r="E41" s="81"/>
      <c r="F41" s="143"/>
      <c r="G41" s="208"/>
      <c r="H41" s="208"/>
      <c r="I41" s="208"/>
      <c r="J41" s="206"/>
      <c r="K41" s="206"/>
      <c r="L41" s="208"/>
      <c r="M41" s="208"/>
      <c r="N41" s="208"/>
      <c r="O41" s="208"/>
      <c r="P41" s="82"/>
    </row>
    <row r="42" spans="1:16" ht="20.100000000000001" customHeight="1">
      <c r="A42" s="81"/>
      <c r="B42" s="81"/>
      <c r="C42" s="81"/>
      <c r="D42" s="83"/>
      <c r="E42" s="81"/>
      <c r="F42" s="143"/>
      <c r="G42" s="208"/>
      <c r="H42" s="208"/>
      <c r="I42" s="208"/>
      <c r="J42" s="206"/>
      <c r="K42" s="206"/>
      <c r="L42" s="208"/>
      <c r="M42" s="208"/>
      <c r="N42" s="208"/>
      <c r="O42" s="208"/>
      <c r="P42" s="82"/>
    </row>
    <row r="43" spans="1:16" ht="20.100000000000001" customHeight="1">
      <c r="A43" s="81"/>
      <c r="B43" s="81"/>
      <c r="C43" s="81"/>
      <c r="D43" s="147"/>
      <c r="E43" s="148"/>
      <c r="F43" s="149"/>
      <c r="G43" s="208"/>
      <c r="H43" s="208"/>
      <c r="I43" s="208"/>
      <c r="J43" s="206"/>
      <c r="K43" s="206"/>
      <c r="L43" s="208"/>
      <c r="M43" s="208"/>
      <c r="N43" s="208"/>
      <c r="O43" s="208"/>
      <c r="P43" s="82"/>
    </row>
    <row r="44" spans="1:16" ht="20.100000000000001" customHeight="1">
      <c r="A44" s="81"/>
      <c r="B44" s="81"/>
      <c r="C44" s="150"/>
      <c r="D44" s="83"/>
      <c r="E44" s="81"/>
      <c r="F44" s="143"/>
      <c r="G44" s="208"/>
      <c r="H44" s="208"/>
      <c r="I44" s="208"/>
      <c r="J44" s="206"/>
      <c r="K44" s="206"/>
      <c r="L44" s="208"/>
      <c r="M44" s="208"/>
      <c r="N44" s="208"/>
      <c r="O44" s="208"/>
      <c r="P44" s="82"/>
    </row>
    <row r="45" spans="1:16" ht="20.100000000000001" customHeight="1">
      <c r="A45" s="81"/>
      <c r="B45" s="81"/>
      <c r="C45" s="150"/>
      <c r="D45" s="147"/>
      <c r="E45" s="148"/>
      <c r="F45" s="143"/>
      <c r="G45" s="208"/>
      <c r="H45" s="208"/>
      <c r="I45" s="208"/>
      <c r="J45" s="206"/>
      <c r="K45" s="206"/>
      <c r="L45" s="208"/>
      <c r="M45" s="208"/>
      <c r="N45" s="208"/>
      <c r="O45" s="208"/>
      <c r="P45" s="82"/>
    </row>
    <row r="46" spans="1:16" ht="20.100000000000001" customHeight="1">
      <c r="A46" s="81"/>
      <c r="B46" s="81"/>
      <c r="C46" s="150"/>
      <c r="D46" s="83"/>
      <c r="E46" s="81"/>
      <c r="F46" s="143"/>
      <c r="G46" s="208"/>
      <c r="H46" s="208"/>
      <c r="I46" s="208"/>
      <c r="J46" s="206"/>
      <c r="K46" s="206"/>
      <c r="L46" s="208"/>
      <c r="M46" s="208"/>
      <c r="N46" s="208"/>
      <c r="O46" s="208"/>
      <c r="P46" s="82"/>
    </row>
    <row r="47" spans="1:16" ht="20.100000000000001" customHeight="1">
      <c r="A47" s="81"/>
      <c r="B47" s="81"/>
      <c r="C47" s="151"/>
      <c r="D47" s="83"/>
      <c r="E47" s="81"/>
      <c r="F47" s="82"/>
      <c r="G47" s="208"/>
      <c r="H47" s="208"/>
      <c r="I47" s="208"/>
      <c r="J47" s="206"/>
      <c r="K47" s="206"/>
      <c r="L47" s="208"/>
      <c r="M47" s="208"/>
      <c r="N47" s="208"/>
      <c r="O47" s="208"/>
      <c r="P47" s="81"/>
    </row>
    <row r="48" spans="1:16" ht="20.100000000000001" customHeight="1">
      <c r="A48" s="81"/>
      <c r="B48" s="81"/>
      <c r="C48" s="152"/>
      <c r="D48" s="83"/>
      <c r="E48" s="144"/>
      <c r="F48" s="153"/>
      <c r="G48" s="208"/>
      <c r="H48" s="208"/>
      <c r="I48" s="208"/>
      <c r="J48" s="208"/>
      <c r="K48" s="208"/>
      <c r="L48" s="208"/>
      <c r="M48" s="206"/>
      <c r="N48" s="206"/>
      <c r="O48" s="206"/>
      <c r="P48" s="81"/>
    </row>
    <row r="49" spans="1:16" ht="20.100000000000001" customHeight="1">
      <c r="A49" s="81"/>
      <c r="B49" s="81"/>
      <c r="C49" s="152"/>
      <c r="D49" s="83"/>
      <c r="E49" s="81"/>
      <c r="F49" s="82"/>
      <c r="G49" s="208"/>
      <c r="H49" s="206"/>
      <c r="I49" s="208"/>
      <c r="J49" s="208"/>
      <c r="K49" s="208"/>
      <c r="L49" s="208"/>
      <c r="M49" s="206"/>
      <c r="N49" s="206"/>
      <c r="O49" s="206"/>
      <c r="P49" s="81"/>
    </row>
    <row r="50" spans="1:16" ht="20.100000000000001" customHeight="1">
      <c r="A50" s="81"/>
      <c r="B50" s="81"/>
      <c r="C50" s="164"/>
      <c r="D50" s="162"/>
      <c r="E50" s="160"/>
      <c r="F50" s="165"/>
      <c r="G50" s="166"/>
      <c r="H50" s="207"/>
      <c r="I50" s="166"/>
      <c r="J50" s="207"/>
      <c r="K50" s="207"/>
      <c r="L50" s="207"/>
      <c r="M50" s="207"/>
      <c r="N50" s="207"/>
      <c r="O50" s="207"/>
      <c r="P50" s="159"/>
    </row>
    <row r="51" spans="1:16" ht="20.100000000000001" customHeight="1">
      <c r="A51" s="81"/>
      <c r="B51" s="81"/>
      <c r="C51" s="164"/>
      <c r="D51" s="162"/>
      <c r="E51" s="160"/>
      <c r="F51" s="165"/>
      <c r="G51" s="166"/>
      <c r="H51" s="207"/>
      <c r="I51" s="166"/>
      <c r="J51" s="207"/>
      <c r="K51" s="207"/>
      <c r="L51" s="207"/>
      <c r="M51" s="207"/>
      <c r="N51" s="207"/>
      <c r="O51" s="207"/>
      <c r="P51" s="161"/>
    </row>
    <row r="52" spans="1:16" ht="20.100000000000001" customHeight="1">
      <c r="A52" s="81"/>
      <c r="B52" s="81"/>
      <c r="C52" s="152"/>
      <c r="D52" s="83"/>
      <c r="E52" s="81"/>
      <c r="F52" s="82"/>
      <c r="G52" s="208"/>
      <c r="H52" s="206"/>
      <c r="I52" s="208"/>
      <c r="J52" s="206"/>
      <c r="K52" s="208"/>
      <c r="L52" s="208"/>
      <c r="M52" s="208"/>
      <c r="N52" s="208"/>
      <c r="O52" s="208"/>
      <c r="P52" s="81"/>
    </row>
    <row r="53" spans="1:16" ht="20.100000000000001" customHeight="1">
      <c r="A53" s="81"/>
      <c r="B53" s="81"/>
      <c r="C53" s="152"/>
      <c r="D53" s="83"/>
      <c r="E53" s="81"/>
      <c r="F53" s="82"/>
      <c r="G53" s="208"/>
      <c r="H53" s="206"/>
      <c r="I53" s="208"/>
      <c r="J53" s="206"/>
      <c r="K53" s="208"/>
      <c r="L53" s="208"/>
      <c r="M53" s="208"/>
      <c r="N53" s="208"/>
      <c r="O53" s="208"/>
      <c r="P53" s="81"/>
    </row>
    <row r="54" spans="1:16" ht="20.100000000000001" customHeight="1">
      <c r="A54" s="81"/>
      <c r="B54" s="81"/>
      <c r="C54" s="84"/>
      <c r="D54" s="83"/>
      <c r="E54" s="81"/>
      <c r="F54" s="82"/>
      <c r="G54" s="208"/>
      <c r="H54" s="206"/>
      <c r="I54" s="208"/>
      <c r="J54" s="206"/>
      <c r="K54" s="208"/>
      <c r="L54" s="206"/>
      <c r="M54" s="208"/>
      <c r="N54" s="208"/>
      <c r="O54" s="208"/>
      <c r="P54" s="81"/>
    </row>
    <row r="55" spans="1:16" ht="20.100000000000001" customHeight="1">
      <c r="A55" s="144"/>
      <c r="B55" s="145"/>
      <c r="C55" s="146"/>
      <c r="D55" s="83"/>
      <c r="E55" s="81"/>
      <c r="F55" s="143"/>
      <c r="G55" s="208"/>
      <c r="H55" s="206"/>
      <c r="I55" s="208"/>
      <c r="J55" s="206"/>
      <c r="K55" s="208"/>
      <c r="L55" s="206"/>
      <c r="M55" s="208"/>
      <c r="N55" s="208"/>
      <c r="O55" s="208"/>
      <c r="P55" s="82"/>
    </row>
    <row r="56" spans="1:16" ht="20.100000000000001" customHeight="1">
      <c r="A56" s="81"/>
      <c r="B56" s="81"/>
      <c r="C56" s="81"/>
      <c r="D56" s="83"/>
      <c r="E56" s="81"/>
      <c r="F56" s="143"/>
      <c r="G56" s="208"/>
      <c r="H56" s="206"/>
      <c r="I56" s="208"/>
      <c r="J56" s="208"/>
      <c r="K56" s="206"/>
      <c r="L56" s="208"/>
      <c r="M56" s="208"/>
      <c r="N56" s="208"/>
      <c r="O56" s="208"/>
      <c r="P56" s="82"/>
    </row>
    <row r="57" spans="1:16" ht="20.100000000000001" customHeight="1">
      <c r="A57" s="81"/>
      <c r="B57" s="81"/>
      <c r="C57" s="81"/>
      <c r="D57" s="83"/>
      <c r="E57" s="81"/>
      <c r="F57" s="143"/>
      <c r="G57" s="208"/>
      <c r="H57" s="206"/>
      <c r="I57" s="208"/>
      <c r="J57" s="208"/>
      <c r="K57" s="206"/>
      <c r="L57" s="208"/>
      <c r="M57" s="208"/>
      <c r="N57" s="208"/>
      <c r="O57" s="208"/>
      <c r="P57" s="82"/>
    </row>
    <row r="58" spans="1:16" ht="20.100000000000001" customHeight="1">
      <c r="A58" s="81"/>
      <c r="B58" s="81"/>
      <c r="C58" s="81"/>
      <c r="D58" s="147"/>
      <c r="E58" s="148"/>
      <c r="F58" s="149"/>
      <c r="G58" s="208"/>
      <c r="H58" s="206"/>
      <c r="I58" s="208"/>
      <c r="J58" s="208"/>
      <c r="K58" s="206"/>
      <c r="L58" s="208"/>
      <c r="M58" s="208"/>
      <c r="N58" s="208"/>
      <c r="O58" s="208"/>
      <c r="P58" s="82"/>
    </row>
    <row r="59" spans="1:16" ht="20.100000000000001" customHeight="1">
      <c r="A59" s="81"/>
      <c r="B59" s="81"/>
      <c r="C59" s="150"/>
      <c r="D59" s="83"/>
      <c r="E59" s="81"/>
      <c r="F59" s="143"/>
      <c r="G59" s="208"/>
      <c r="H59" s="206"/>
      <c r="I59" s="208"/>
      <c r="J59" s="208"/>
      <c r="K59" s="206"/>
      <c r="L59" s="208"/>
      <c r="M59" s="208"/>
      <c r="N59" s="208"/>
      <c r="O59" s="208"/>
      <c r="P59" s="82"/>
    </row>
    <row r="60" spans="1:16" ht="20.100000000000001" customHeight="1">
      <c r="A60" s="81"/>
      <c r="B60" s="81"/>
      <c r="C60" s="150"/>
      <c r="D60" s="147"/>
      <c r="E60" s="148"/>
      <c r="F60" s="143"/>
      <c r="G60" s="208"/>
      <c r="H60" s="206"/>
      <c r="I60" s="208"/>
      <c r="J60" s="208"/>
      <c r="K60" s="206"/>
      <c r="L60" s="208"/>
      <c r="M60" s="208"/>
      <c r="N60" s="208"/>
      <c r="O60" s="208"/>
      <c r="P60" s="82"/>
    </row>
    <row r="61" spans="1:16" ht="20.100000000000001" customHeight="1">
      <c r="A61" s="81"/>
      <c r="B61" s="81"/>
      <c r="C61" s="150"/>
      <c r="D61" s="83"/>
      <c r="E61" s="81"/>
      <c r="F61" s="143"/>
      <c r="G61" s="208"/>
      <c r="H61" s="206"/>
      <c r="I61" s="208"/>
      <c r="J61" s="208"/>
      <c r="K61" s="206"/>
      <c r="L61" s="208"/>
      <c r="M61" s="208"/>
      <c r="N61" s="208"/>
      <c r="O61" s="208"/>
      <c r="P61" s="82"/>
    </row>
    <row r="62" spans="1:16" ht="20.100000000000001" customHeight="1">
      <c r="A62" s="81"/>
      <c r="B62" s="81"/>
      <c r="C62" s="151"/>
      <c r="D62" s="83"/>
      <c r="E62" s="81"/>
      <c r="F62" s="82"/>
      <c r="G62" s="208"/>
      <c r="H62" s="206"/>
      <c r="I62" s="208"/>
      <c r="J62" s="208"/>
      <c r="K62" s="206"/>
      <c r="L62" s="206"/>
      <c r="M62" s="206"/>
      <c r="N62" s="206"/>
      <c r="O62" s="206"/>
      <c r="P62" s="81"/>
    </row>
    <row r="63" spans="1:16" ht="20.100000000000001" customHeight="1">
      <c r="A63" s="81"/>
      <c r="B63" s="81"/>
      <c r="C63" s="152"/>
      <c r="D63" s="83"/>
      <c r="E63" s="144"/>
      <c r="F63" s="153"/>
      <c r="G63" s="208"/>
      <c r="H63" s="206"/>
      <c r="I63" s="208"/>
      <c r="J63" s="208"/>
      <c r="K63" s="208"/>
      <c r="L63" s="208"/>
      <c r="M63" s="206"/>
      <c r="N63" s="206"/>
      <c r="O63" s="206"/>
      <c r="P63" s="81"/>
    </row>
    <row r="64" spans="1:16" ht="20.100000000000001" customHeight="1">
      <c r="A64" s="81"/>
      <c r="B64" s="81"/>
      <c r="C64" s="152"/>
      <c r="D64" s="83"/>
      <c r="E64" s="81"/>
      <c r="F64" s="82"/>
      <c r="G64" s="208"/>
      <c r="H64" s="206"/>
      <c r="I64" s="208"/>
      <c r="J64" s="208"/>
      <c r="K64" s="208"/>
      <c r="L64" s="208"/>
      <c r="M64" s="208"/>
      <c r="N64" s="208"/>
      <c r="O64" s="208"/>
      <c r="P64" s="81"/>
    </row>
    <row r="65" spans="1:16" ht="20.100000000000001" customHeight="1">
      <c r="A65" s="81"/>
      <c r="B65" s="81"/>
      <c r="C65" s="152"/>
      <c r="D65" s="83"/>
      <c r="E65" s="81"/>
      <c r="F65" s="82"/>
      <c r="G65" s="208"/>
      <c r="H65" s="206"/>
      <c r="I65" s="208"/>
      <c r="J65" s="208"/>
      <c r="K65" s="208"/>
      <c r="L65" s="208"/>
      <c r="M65" s="208"/>
      <c r="N65" s="208"/>
      <c r="O65" s="208"/>
      <c r="P65" s="81"/>
    </row>
    <row r="66" spans="1:16" ht="20.100000000000001" customHeight="1">
      <c r="A66" s="81"/>
      <c r="B66" s="81"/>
      <c r="C66" s="152"/>
      <c r="D66" s="83"/>
      <c r="E66" s="81"/>
      <c r="F66" s="82"/>
      <c r="G66" s="208"/>
      <c r="H66" s="206"/>
      <c r="I66" s="208"/>
      <c r="J66" s="208"/>
      <c r="K66" s="208"/>
      <c r="L66" s="208"/>
      <c r="M66" s="208"/>
      <c r="N66" s="208"/>
      <c r="O66" s="208"/>
      <c r="P66" s="81"/>
    </row>
    <row r="67" spans="1:16" ht="20.100000000000001" customHeight="1">
      <c r="A67" s="81"/>
      <c r="B67" s="81"/>
      <c r="C67" s="84"/>
      <c r="D67" s="83"/>
      <c r="E67" s="81"/>
      <c r="F67" s="82"/>
      <c r="G67" s="208"/>
      <c r="H67" s="208"/>
      <c r="I67" s="208"/>
      <c r="J67" s="208"/>
      <c r="K67" s="208"/>
      <c r="L67" s="206"/>
      <c r="M67" s="208"/>
      <c r="N67" s="208"/>
      <c r="O67" s="208"/>
      <c r="P67" s="81"/>
    </row>
    <row r="68" spans="1:16" ht="20.100000000000001" customHeight="1">
      <c r="A68" s="81"/>
      <c r="B68" s="81"/>
      <c r="C68" s="226"/>
      <c r="D68" s="155"/>
      <c r="E68" s="156"/>
      <c r="F68" s="156"/>
      <c r="G68" s="209"/>
      <c r="H68" s="224"/>
      <c r="I68" s="225"/>
      <c r="J68" s="225"/>
      <c r="K68" s="224"/>
      <c r="L68" s="224"/>
      <c r="M68" s="224"/>
      <c r="N68" s="224"/>
      <c r="O68" s="224"/>
      <c r="P68" s="157"/>
    </row>
    <row r="69" spans="1:16" ht="20.100000000000001" customHeight="1">
      <c r="A69" s="81"/>
      <c r="B69" s="81"/>
      <c r="C69" s="154"/>
      <c r="D69" s="155"/>
      <c r="E69" s="156"/>
      <c r="F69" s="156"/>
      <c r="G69" s="203"/>
      <c r="H69" s="203"/>
      <c r="I69" s="203"/>
      <c r="J69" s="203"/>
      <c r="K69" s="203"/>
      <c r="L69" s="203"/>
      <c r="M69" s="203"/>
      <c r="N69" s="203"/>
      <c r="O69" s="203"/>
      <c r="P69" s="157"/>
    </row>
    <row r="70" spans="1:16" ht="20.100000000000001" customHeight="1">
      <c r="A70" s="81"/>
      <c r="B70" s="81"/>
      <c r="C70" s="227"/>
      <c r="D70" s="155"/>
      <c r="E70" s="156"/>
      <c r="F70" s="156"/>
      <c r="G70" s="204"/>
      <c r="H70" s="204"/>
      <c r="I70" s="204"/>
      <c r="J70" s="205"/>
      <c r="K70" s="205"/>
      <c r="L70" s="205"/>
      <c r="M70" s="205"/>
      <c r="N70" s="205"/>
      <c r="O70" s="205"/>
      <c r="P70" s="158"/>
    </row>
    <row r="71" spans="1:16" ht="20.100000000000001" customHeight="1">
      <c r="A71" s="81"/>
      <c r="B71" s="81"/>
      <c r="C71" s="227"/>
      <c r="D71" s="155"/>
      <c r="E71" s="156"/>
      <c r="F71" s="156"/>
      <c r="G71" s="204"/>
      <c r="H71" s="204"/>
      <c r="I71" s="204"/>
      <c r="J71" s="205"/>
      <c r="K71" s="205"/>
      <c r="L71" s="205"/>
      <c r="M71" s="205"/>
      <c r="N71" s="205"/>
      <c r="O71" s="205"/>
      <c r="P71" s="158"/>
    </row>
    <row r="72" spans="1:16" ht="20.100000000000001" customHeight="1">
      <c r="A72" s="81"/>
      <c r="B72" s="81"/>
      <c r="C72" s="227"/>
      <c r="D72" s="155"/>
      <c r="E72" s="156"/>
      <c r="F72" s="156"/>
      <c r="G72" s="204"/>
      <c r="H72" s="204"/>
      <c r="I72" s="204"/>
      <c r="J72" s="205"/>
      <c r="K72" s="205"/>
      <c r="L72" s="205"/>
      <c r="M72" s="205"/>
      <c r="N72" s="205"/>
      <c r="O72" s="205"/>
      <c r="P72" s="158"/>
    </row>
    <row r="73" spans="1:16" ht="20.100000000000001" customHeight="1">
      <c r="A73" s="81"/>
      <c r="B73" s="81"/>
      <c r="C73" s="227"/>
      <c r="D73" s="155"/>
      <c r="E73" s="156"/>
      <c r="F73" s="156"/>
      <c r="G73" s="204"/>
      <c r="H73" s="204"/>
      <c r="I73" s="204"/>
      <c r="J73" s="205"/>
      <c r="K73" s="205"/>
      <c r="L73" s="205"/>
      <c r="M73" s="205"/>
      <c r="N73" s="205"/>
      <c r="O73" s="205"/>
      <c r="P73" s="158"/>
    </row>
    <row r="74" spans="1:16" ht="20.100000000000001" customHeight="1">
      <c r="A74" s="81"/>
      <c r="B74" s="81"/>
      <c r="C74" s="227"/>
      <c r="D74" s="155"/>
      <c r="E74" s="156"/>
      <c r="F74" s="156"/>
      <c r="G74" s="204"/>
      <c r="H74" s="204"/>
      <c r="I74" s="204"/>
      <c r="J74" s="205"/>
      <c r="K74" s="205"/>
      <c r="L74" s="205"/>
      <c r="M74" s="205"/>
      <c r="N74" s="205"/>
      <c r="O74" s="205"/>
      <c r="P74" s="158"/>
    </row>
    <row r="75" spans="1:16" ht="20.100000000000001" customHeight="1">
      <c r="A75" s="81"/>
      <c r="B75" s="81"/>
      <c r="C75" s="227"/>
      <c r="D75" s="155"/>
      <c r="E75" s="156"/>
      <c r="F75" s="156"/>
      <c r="G75" s="204"/>
      <c r="H75" s="204"/>
      <c r="I75" s="204"/>
      <c r="J75" s="205"/>
      <c r="K75" s="205"/>
      <c r="L75" s="205"/>
      <c r="M75" s="205"/>
      <c r="N75" s="205"/>
      <c r="O75" s="205"/>
      <c r="P75" s="158"/>
    </row>
    <row r="76" spans="1:16" ht="20.100000000000001" customHeight="1">
      <c r="A76" s="81"/>
      <c r="B76" s="81"/>
      <c r="C76" s="227"/>
      <c r="D76" s="155"/>
      <c r="E76" s="156"/>
      <c r="F76" s="156"/>
      <c r="G76" s="204"/>
      <c r="H76" s="204"/>
      <c r="I76" s="204"/>
      <c r="J76" s="205"/>
      <c r="K76" s="205"/>
      <c r="L76" s="205"/>
      <c r="M76" s="205"/>
      <c r="N76" s="205"/>
      <c r="O76" s="205"/>
      <c r="P76" s="158"/>
    </row>
    <row r="77" spans="1:16" ht="20.100000000000001" customHeight="1">
      <c r="A77" s="81"/>
      <c r="B77" s="81"/>
      <c r="C77" s="227"/>
      <c r="D77" s="155"/>
      <c r="E77" s="156"/>
      <c r="F77" s="156"/>
      <c r="G77" s="204"/>
      <c r="H77" s="204"/>
      <c r="I77" s="204"/>
      <c r="J77" s="205"/>
      <c r="K77" s="205"/>
      <c r="L77" s="205"/>
      <c r="M77" s="205"/>
      <c r="N77" s="205"/>
      <c r="O77" s="205"/>
      <c r="P77" s="158"/>
    </row>
    <row r="78" spans="1:16" ht="20.100000000000001" customHeight="1">
      <c r="A78" s="81"/>
      <c r="B78" s="81"/>
      <c r="C78" s="227"/>
      <c r="D78" s="155"/>
      <c r="E78" s="156"/>
      <c r="F78" s="156"/>
      <c r="G78" s="204"/>
      <c r="H78" s="204"/>
      <c r="I78" s="204"/>
      <c r="J78" s="205"/>
      <c r="K78" s="205"/>
      <c r="L78" s="205"/>
      <c r="M78" s="205"/>
      <c r="N78" s="205"/>
      <c r="O78" s="205"/>
      <c r="P78" s="158"/>
    </row>
    <row r="79" spans="1:16" ht="20.100000000000001" customHeight="1">
      <c r="A79" s="81"/>
      <c r="B79" s="81"/>
      <c r="C79" s="227"/>
      <c r="D79" s="155"/>
      <c r="E79" s="156"/>
      <c r="F79" s="156"/>
      <c r="G79" s="204"/>
      <c r="H79" s="204"/>
      <c r="I79" s="204"/>
      <c r="J79" s="205"/>
      <c r="K79" s="205"/>
      <c r="L79" s="205"/>
      <c r="M79" s="205"/>
      <c r="N79" s="205"/>
      <c r="O79" s="205"/>
      <c r="P79" s="158"/>
    </row>
    <row r="80" spans="1:16" ht="20.100000000000001" customHeight="1">
      <c r="A80" s="81"/>
      <c r="B80" s="81"/>
      <c r="C80" s="227"/>
      <c r="D80" s="155"/>
      <c r="E80" s="156"/>
      <c r="F80" s="156"/>
      <c r="G80" s="204"/>
      <c r="H80" s="204"/>
      <c r="I80" s="204"/>
      <c r="J80" s="205"/>
      <c r="K80" s="205"/>
      <c r="L80" s="205"/>
      <c r="M80" s="205"/>
      <c r="N80" s="205"/>
      <c r="O80" s="205"/>
      <c r="P80" s="158"/>
    </row>
    <row r="81" spans="1:16" ht="20.100000000000001" customHeight="1">
      <c r="A81" s="81"/>
      <c r="B81" s="81"/>
      <c r="C81" s="227"/>
      <c r="D81" s="155"/>
      <c r="E81" s="156"/>
      <c r="F81" s="156"/>
      <c r="G81" s="204"/>
      <c r="H81" s="204"/>
      <c r="I81" s="204"/>
      <c r="J81" s="205"/>
      <c r="K81" s="205"/>
      <c r="L81" s="205"/>
      <c r="M81" s="205"/>
      <c r="N81" s="205"/>
      <c r="O81" s="205"/>
      <c r="P81" s="158"/>
    </row>
    <row r="82" spans="1:16" ht="20.100000000000001" customHeight="1">
      <c r="A82" s="81"/>
      <c r="B82" s="81"/>
      <c r="C82" s="227"/>
      <c r="D82" s="155"/>
      <c r="E82" s="156"/>
      <c r="F82" s="156"/>
      <c r="G82" s="204"/>
      <c r="H82" s="204"/>
      <c r="I82" s="204"/>
      <c r="J82" s="205"/>
      <c r="K82" s="205"/>
      <c r="L82" s="205"/>
      <c r="M82" s="205"/>
      <c r="N82" s="205"/>
      <c r="O82" s="205"/>
      <c r="P82" s="158"/>
    </row>
    <row r="83" spans="1:16" ht="20.100000000000001" customHeight="1">
      <c r="A83" s="81"/>
      <c r="B83" s="81"/>
      <c r="C83" s="227"/>
      <c r="D83" s="155"/>
      <c r="E83" s="156"/>
      <c r="F83" s="156"/>
      <c r="G83" s="204"/>
      <c r="H83" s="204"/>
      <c r="I83" s="204"/>
      <c r="J83" s="205"/>
      <c r="K83" s="205"/>
      <c r="L83" s="205"/>
      <c r="M83" s="205"/>
      <c r="N83" s="205"/>
      <c r="O83" s="205"/>
      <c r="P83" s="158"/>
    </row>
    <row r="84" spans="1:16" ht="20.100000000000001" customHeight="1">
      <c r="A84" s="81"/>
      <c r="B84" s="81"/>
      <c r="C84" s="227"/>
      <c r="D84" s="155"/>
      <c r="E84" s="156"/>
      <c r="F84" s="156"/>
      <c r="G84" s="204"/>
      <c r="H84" s="204"/>
      <c r="I84" s="204"/>
      <c r="J84" s="205"/>
      <c r="K84" s="205"/>
      <c r="L84" s="205"/>
      <c r="M84" s="205"/>
      <c r="N84" s="205"/>
      <c r="O84" s="205"/>
      <c r="P84" s="158"/>
    </row>
    <row r="85" spans="1:16" ht="20.100000000000001" customHeight="1">
      <c r="A85" s="81"/>
      <c r="B85" s="81"/>
      <c r="C85" s="227"/>
      <c r="D85" s="155"/>
      <c r="E85" s="156"/>
      <c r="F85" s="156"/>
      <c r="G85" s="204"/>
      <c r="H85" s="204"/>
      <c r="I85" s="204"/>
      <c r="J85" s="205"/>
      <c r="K85" s="205"/>
      <c r="L85" s="205"/>
      <c r="M85" s="205"/>
      <c r="N85" s="205"/>
      <c r="O85" s="205"/>
      <c r="P85" s="158"/>
    </row>
    <row r="86" spans="1:16" ht="20.100000000000001" customHeight="1">
      <c r="A86" s="81"/>
      <c r="B86" s="81"/>
      <c r="C86" s="227"/>
      <c r="D86" s="155"/>
      <c r="E86" s="156"/>
      <c r="F86" s="156"/>
      <c r="G86" s="204"/>
      <c r="H86" s="204"/>
      <c r="I86" s="204"/>
      <c r="J86" s="205"/>
      <c r="K86" s="205"/>
      <c r="L86" s="205"/>
      <c r="M86" s="205"/>
      <c r="N86" s="205"/>
      <c r="O86" s="205"/>
      <c r="P86" s="158"/>
    </row>
    <row r="87" spans="1:16" ht="20.100000000000001" customHeight="1">
      <c r="A87" s="81"/>
      <c r="B87" s="81"/>
      <c r="C87" s="227"/>
      <c r="D87" s="155"/>
      <c r="E87" s="156"/>
      <c r="F87" s="156"/>
      <c r="G87" s="204"/>
      <c r="H87" s="204"/>
      <c r="I87" s="204"/>
      <c r="J87" s="205"/>
      <c r="K87" s="205"/>
      <c r="L87" s="205"/>
      <c r="M87" s="205"/>
      <c r="N87" s="205"/>
      <c r="O87" s="205"/>
      <c r="P87" s="158"/>
    </row>
    <row r="88" spans="1:16" ht="20.100000000000001" customHeight="1">
      <c r="A88" s="81"/>
      <c r="B88" s="81"/>
      <c r="C88" s="227"/>
      <c r="D88" s="155"/>
      <c r="E88" s="156"/>
      <c r="F88" s="156"/>
      <c r="G88" s="204"/>
      <c r="H88" s="204"/>
      <c r="I88" s="204"/>
      <c r="J88" s="205"/>
      <c r="K88" s="205"/>
      <c r="L88" s="205"/>
      <c r="M88" s="205"/>
      <c r="N88" s="205"/>
      <c r="O88" s="205"/>
      <c r="P88" s="158"/>
    </row>
    <row r="89" spans="1:16" ht="20.100000000000001" customHeight="1">
      <c r="A89" s="81"/>
      <c r="B89" s="81"/>
      <c r="C89" s="227"/>
      <c r="D89" s="155"/>
      <c r="E89" s="156"/>
      <c r="F89" s="156"/>
      <c r="G89" s="204"/>
      <c r="H89" s="204"/>
      <c r="I89" s="204"/>
      <c r="J89" s="205"/>
      <c r="K89" s="205"/>
      <c r="L89" s="205"/>
      <c r="M89" s="205"/>
      <c r="N89" s="205"/>
      <c r="O89" s="205"/>
      <c r="P89" s="158"/>
    </row>
    <row r="90" spans="1:16" ht="20.100000000000001" customHeight="1">
      <c r="A90" s="81"/>
      <c r="B90" s="81"/>
      <c r="C90" s="81"/>
      <c r="D90" s="83"/>
      <c r="E90" s="81"/>
      <c r="F90" s="81"/>
      <c r="G90" s="81"/>
      <c r="H90" s="81"/>
      <c r="I90" s="81"/>
      <c r="J90" s="81"/>
      <c r="K90" s="81"/>
      <c r="L90" s="81"/>
      <c r="M90" s="81"/>
      <c r="N90" s="81"/>
      <c r="O90" s="81"/>
      <c r="P90" s="81"/>
    </row>
  </sheetData>
  <mergeCells count="20">
    <mergeCell ref="G7:O7"/>
    <mergeCell ref="P7:P8"/>
    <mergeCell ref="A7:A8"/>
    <mergeCell ref="B7:B8"/>
    <mergeCell ref="C7:C8"/>
    <mergeCell ref="D7:D8"/>
    <mergeCell ref="E7:E8"/>
    <mergeCell ref="F7:F8"/>
    <mergeCell ref="A4:B4"/>
    <mergeCell ref="C4:P4"/>
    <mergeCell ref="A5:B5"/>
    <mergeCell ref="C5:P5"/>
    <mergeCell ref="A6:B6"/>
    <mergeCell ref="C6:P6"/>
    <mergeCell ref="A1:B1"/>
    <mergeCell ref="C1:P1"/>
    <mergeCell ref="A2:B2"/>
    <mergeCell ref="C2:P2"/>
    <mergeCell ref="A3:B3"/>
    <mergeCell ref="C3:P3"/>
  </mergeCells>
  <conditionalFormatting sqref="C68:C69">
    <cfRule type="cellIs" dxfId="16" priority="16" operator="equal">
      <formula>0</formula>
    </cfRule>
  </conditionalFormatting>
  <conditionalFormatting sqref="H1:O6 H8:O8 A1:G8 A31:XFD39 A80:N1048576 O72:O1048576 A68:O89 P68:XFD1048576 P1:XFD30">
    <cfRule type="cellIs" dxfId="15" priority="15" operator="between">
      <formula>0</formula>
      <formula>0</formula>
    </cfRule>
  </conditionalFormatting>
  <conditionalFormatting sqref="I76">
    <cfRule type="cellIs" dxfId="14" priority="11" operator="between">
      <formula>0</formula>
      <formula>0</formula>
    </cfRule>
  </conditionalFormatting>
  <conditionalFormatting sqref="A52:XFD54 A50:B51 Q50:XFD51 A40:XFD49">
    <cfRule type="cellIs" dxfId="13" priority="10" operator="between">
      <formula>0</formula>
      <formula>0</formula>
    </cfRule>
  </conditionalFormatting>
  <conditionalFormatting sqref="A55:XFD67">
    <cfRule type="cellIs" dxfId="12" priority="9" operator="between">
      <formula>0</formula>
      <formula>0</formula>
    </cfRule>
  </conditionalFormatting>
  <conditionalFormatting sqref="C50:P51">
    <cfRule type="cellIs" dxfId="11" priority="8" operator="between">
      <formula>0</formula>
      <formula>0</formula>
    </cfRule>
  </conditionalFormatting>
  <conditionalFormatting sqref="H74:K75">
    <cfRule type="cellIs" dxfId="10" priority="7" operator="between">
      <formula>0</formula>
      <formula>0</formula>
    </cfRule>
  </conditionalFormatting>
  <conditionalFormatting sqref="C23:C24">
    <cfRule type="cellIs" dxfId="9" priority="6" operator="equal">
      <formula>0</formula>
    </cfRule>
  </conditionalFormatting>
  <conditionalFormatting sqref="F27:G27 G11:O11 A23:D30 E23:O26 A9:O10 E28:H30 A13:B16 I27:O27 G13:O16 A11:B11 A17:O22 I29:O29 J28:O28 J30:O30">
    <cfRule type="cellIs" dxfId="8" priority="5" operator="between">
      <formula>0</formula>
      <formula>0</formula>
    </cfRule>
  </conditionalFormatting>
  <conditionalFormatting sqref="A12:B12 G12:O12">
    <cfRule type="cellIs" dxfId="7" priority="4" operator="between">
      <formula>0</formula>
      <formula>0</formula>
    </cfRule>
  </conditionalFormatting>
  <conditionalFormatting sqref="C11:F16">
    <cfRule type="cellIs" dxfId="6" priority="3" operator="between">
      <formula>0</formula>
      <formula>0</formula>
    </cfRule>
  </conditionalFormatting>
  <conditionalFormatting sqref="I28">
    <cfRule type="cellIs" dxfId="5" priority="2" operator="between">
      <formula>0</formula>
      <formula>0</formula>
    </cfRule>
  </conditionalFormatting>
  <conditionalFormatting sqref="I30">
    <cfRule type="cellIs" dxfId="4" priority="1" operator="between">
      <formula>0</formula>
      <formula>0</formula>
    </cfRule>
  </conditionalFormatting>
  <pageMargins left="0.34" right="0.39" top="0.88" bottom="0.8" header="0.4" footer="0.3"/>
  <pageSetup scale="81" orientation="landscape" r:id="rId1"/>
  <headerFooter>
    <oddFooter>&amp;CPage no &amp;P  MB  -1022</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22"/>
  <sheetViews>
    <sheetView view="pageBreakPreview" topLeftCell="A19" zoomScale="90" zoomScaleSheetLayoutView="90" workbookViewId="0">
      <selection activeCell="H41" sqref="H41"/>
    </sheetView>
  </sheetViews>
  <sheetFormatPr defaultColWidth="9.140625" defaultRowHeight="14.25"/>
  <cols>
    <col min="1" max="1" width="10.140625" style="37" customWidth="1"/>
    <col min="2" max="2" width="7" style="48" customWidth="1"/>
    <col min="3" max="3" width="42.85546875" style="53" customWidth="1"/>
    <col min="4" max="4" width="4.28515625" style="70" bestFit="1" customWidth="1"/>
    <col min="5" max="6" width="9.28515625" style="37" bestFit="1" customWidth="1"/>
    <col min="7" max="7" width="7.7109375" style="37" bestFit="1" customWidth="1"/>
    <col min="8" max="8" width="12.28515625" style="37" bestFit="1" customWidth="1"/>
    <col min="9" max="9" width="9.28515625" style="70" customWidth="1"/>
    <col min="10" max="10" width="9.140625" style="37"/>
    <col min="11" max="12" width="9.28515625" style="37" bestFit="1" customWidth="1"/>
    <col min="13" max="13" width="9.7109375" style="37" bestFit="1" customWidth="1"/>
    <col min="14" max="16384" width="9.140625" style="37"/>
  </cols>
  <sheetData>
    <row r="1" spans="1:18" ht="32.25" customHeight="1">
      <c r="A1" s="56" t="s">
        <v>78</v>
      </c>
      <c r="B1" s="304" t="s">
        <v>85</v>
      </c>
      <c r="C1" s="305"/>
      <c r="D1" s="305"/>
      <c r="E1" s="305"/>
      <c r="F1" s="305"/>
      <c r="G1" s="305"/>
      <c r="H1" s="305"/>
      <c r="I1" s="306"/>
    </row>
    <row r="2" spans="1:18" ht="24.75" customHeight="1">
      <c r="A2" s="56" t="s">
        <v>79</v>
      </c>
      <c r="B2" s="298" t="s">
        <v>88</v>
      </c>
      <c r="C2" s="299"/>
      <c r="D2" s="299"/>
      <c r="E2" s="299"/>
      <c r="F2" s="299"/>
      <c r="G2" s="299"/>
      <c r="H2" s="299"/>
      <c r="I2" s="300"/>
    </row>
    <row r="3" spans="1:18" ht="24.75" customHeight="1">
      <c r="A3" s="57" t="s">
        <v>93</v>
      </c>
      <c r="B3" s="298" t="s">
        <v>89</v>
      </c>
      <c r="C3" s="299"/>
      <c r="D3" s="299"/>
      <c r="E3" s="299"/>
      <c r="F3" s="299"/>
      <c r="G3" s="299"/>
      <c r="H3" s="299"/>
      <c r="I3" s="300"/>
    </row>
    <row r="4" spans="1:18" ht="24.75" customHeight="1">
      <c r="A4" s="57" t="s">
        <v>80</v>
      </c>
      <c r="B4" s="298" t="s">
        <v>90</v>
      </c>
      <c r="C4" s="299"/>
      <c r="D4" s="299"/>
      <c r="E4" s="299"/>
      <c r="F4" s="299"/>
      <c r="G4" s="299"/>
      <c r="H4" s="299"/>
      <c r="I4" s="300"/>
    </row>
    <row r="5" spans="1:18" ht="24.75" customHeight="1">
      <c r="A5" s="57" t="s">
        <v>92</v>
      </c>
      <c r="B5" s="298" t="s">
        <v>91</v>
      </c>
      <c r="C5" s="299"/>
      <c r="D5" s="299"/>
      <c r="E5" s="299"/>
      <c r="F5" s="299"/>
      <c r="G5" s="299"/>
      <c r="H5" s="299"/>
      <c r="I5" s="300"/>
    </row>
    <row r="6" spans="1:18" ht="25.5" customHeight="1">
      <c r="A6" s="57" t="s">
        <v>81</v>
      </c>
      <c r="B6" s="301" t="s">
        <v>116</v>
      </c>
      <c r="C6" s="302">
        <v>1</v>
      </c>
      <c r="D6" s="302"/>
      <c r="E6" s="302"/>
      <c r="F6" s="302"/>
      <c r="G6" s="302"/>
      <c r="H6" s="302"/>
      <c r="I6" s="303"/>
      <c r="L6" s="38"/>
    </row>
    <row r="7" spans="1:18" ht="24.95" customHeight="1">
      <c r="A7" s="289" t="s">
        <v>82</v>
      </c>
      <c r="B7" s="289" t="s">
        <v>15</v>
      </c>
      <c r="C7" s="290" t="s">
        <v>4</v>
      </c>
      <c r="D7" s="294" t="s">
        <v>83</v>
      </c>
      <c r="E7" s="294"/>
      <c r="F7" s="294"/>
      <c r="G7" s="294"/>
      <c r="H7" s="294"/>
      <c r="I7" s="294" t="s">
        <v>9</v>
      </c>
      <c r="J7" s="39"/>
      <c r="K7" s="293"/>
      <c r="L7" s="293"/>
      <c r="M7" s="293"/>
      <c r="N7" s="293"/>
      <c r="O7" s="293"/>
      <c r="P7" s="293"/>
      <c r="Q7" s="293"/>
      <c r="R7" s="293"/>
    </row>
    <row r="8" spans="1:18" ht="31.5" customHeight="1">
      <c r="A8" s="289"/>
      <c r="B8" s="289"/>
      <c r="C8" s="291"/>
      <c r="D8" s="58" t="s">
        <v>18</v>
      </c>
      <c r="E8" s="58" t="s">
        <v>0</v>
      </c>
      <c r="F8" s="58" t="s">
        <v>1</v>
      </c>
      <c r="G8" s="59" t="s">
        <v>2</v>
      </c>
      <c r="H8" s="58" t="s">
        <v>84</v>
      </c>
      <c r="I8" s="294"/>
      <c r="J8" s="39"/>
      <c r="K8" s="292"/>
      <c r="L8" s="292"/>
      <c r="M8" s="292"/>
      <c r="N8" s="292"/>
      <c r="O8" s="292"/>
      <c r="P8" s="292"/>
      <c r="Q8" s="292"/>
      <c r="R8" s="292"/>
    </row>
    <row r="9" spans="1:18" ht="18.600000000000001" customHeight="1">
      <c r="A9" s="73"/>
      <c r="B9" s="71">
        <v>5.5</v>
      </c>
      <c r="C9" s="286" t="s">
        <v>138</v>
      </c>
      <c r="D9" s="240"/>
      <c r="E9" s="240"/>
      <c r="F9" s="240"/>
      <c r="G9" s="240"/>
      <c r="H9" s="240"/>
      <c r="I9" s="241"/>
      <c r="M9" s="42"/>
    </row>
    <row r="10" spans="1:18" ht="18.600000000000001" customHeight="1">
      <c r="A10" s="74"/>
      <c r="B10" s="72"/>
      <c r="C10" s="78" t="s">
        <v>204</v>
      </c>
      <c r="D10" s="65"/>
      <c r="E10" s="60"/>
      <c r="F10" s="60"/>
      <c r="G10" s="60"/>
      <c r="H10" s="61">
        <f>+'Gen 1001'!H63</f>
        <v>122.83375999999997</v>
      </c>
      <c r="I10" s="66"/>
    </row>
    <row r="11" spans="1:18" ht="18.600000000000001" customHeight="1">
      <c r="A11" s="74"/>
      <c r="B11" s="72"/>
      <c r="C11" s="250" t="s">
        <v>17</v>
      </c>
      <c r="D11" s="76"/>
      <c r="E11" s="62"/>
      <c r="F11" s="62"/>
      <c r="G11" s="62"/>
      <c r="H11" s="285">
        <f>SUM(H10)</f>
        <v>122.83375999999997</v>
      </c>
      <c r="I11" s="67" t="s">
        <v>124</v>
      </c>
    </row>
    <row r="12" spans="1:18" ht="18.600000000000001" customHeight="1">
      <c r="A12" s="74"/>
      <c r="B12" s="72"/>
      <c r="C12" s="51"/>
      <c r="D12" s="312" t="s">
        <v>206</v>
      </c>
      <c r="E12" s="312"/>
      <c r="F12" s="312"/>
      <c r="G12" s="312"/>
      <c r="H12" s="312"/>
      <c r="I12" s="313"/>
    </row>
    <row r="13" spans="1:18" ht="18.600000000000001" customHeight="1">
      <c r="A13" s="74"/>
      <c r="B13" s="72"/>
      <c r="C13" s="78"/>
      <c r="D13" s="65"/>
      <c r="E13" s="60"/>
      <c r="F13" s="60"/>
      <c r="G13" s="60"/>
      <c r="H13" s="61"/>
      <c r="I13" s="66"/>
    </row>
    <row r="14" spans="1:18" ht="18.600000000000001" customHeight="1">
      <c r="A14" s="74"/>
      <c r="B14" s="72" t="s">
        <v>125</v>
      </c>
      <c r="C14" s="180" t="s">
        <v>207</v>
      </c>
      <c r="D14" s="65"/>
      <c r="E14" s="60"/>
      <c r="F14" s="60"/>
      <c r="G14" s="60"/>
      <c r="H14" s="61"/>
      <c r="I14" s="66"/>
    </row>
    <row r="15" spans="1:18" ht="18.600000000000001" customHeight="1">
      <c r="A15" s="74"/>
      <c r="B15" s="72"/>
      <c r="C15" s="78" t="s">
        <v>205</v>
      </c>
      <c r="D15" s="65"/>
      <c r="E15" s="60"/>
      <c r="F15" s="60"/>
      <c r="G15" s="60"/>
      <c r="H15" s="61">
        <f>+'Gen 1001'!H15</f>
        <v>17.37251999999998</v>
      </c>
      <c r="I15" s="66"/>
    </row>
    <row r="16" spans="1:18" ht="18.600000000000001" customHeight="1">
      <c r="A16" s="74"/>
      <c r="B16" s="72"/>
      <c r="C16" s="78" t="s">
        <v>208</v>
      </c>
      <c r="D16" s="65"/>
      <c r="E16" s="60"/>
      <c r="F16" s="60"/>
      <c r="G16" s="60"/>
      <c r="H16" s="61"/>
      <c r="I16" s="66"/>
    </row>
    <row r="17" spans="1:9" ht="18.600000000000001" customHeight="1">
      <c r="A17" s="74"/>
      <c r="B17" s="72"/>
      <c r="C17" s="250" t="s">
        <v>17</v>
      </c>
      <c r="D17" s="76"/>
      <c r="E17" s="62"/>
      <c r="F17" s="62"/>
      <c r="G17" s="62"/>
      <c r="H17" s="285">
        <f>SUM(H15:H16)</f>
        <v>17.37251999999998</v>
      </c>
      <c r="I17" s="67" t="s">
        <v>124</v>
      </c>
    </row>
    <row r="18" spans="1:9" ht="18.600000000000001" customHeight="1">
      <c r="A18" s="74"/>
      <c r="B18" s="72"/>
      <c r="C18" s="51"/>
      <c r="D18" s="312" t="s">
        <v>206</v>
      </c>
      <c r="E18" s="312"/>
      <c r="F18" s="312"/>
      <c r="G18" s="312"/>
      <c r="H18" s="312"/>
      <c r="I18" s="313"/>
    </row>
    <row r="19" spans="1:9" ht="18.600000000000001" customHeight="1">
      <c r="A19" s="74"/>
      <c r="B19" s="72"/>
      <c r="C19" s="78"/>
      <c r="D19" s="65"/>
      <c r="E19" s="60"/>
      <c r="F19" s="60"/>
      <c r="G19" s="60"/>
      <c r="H19" s="61"/>
      <c r="I19" s="66"/>
    </row>
    <row r="20" spans="1:9" ht="18.600000000000001" customHeight="1">
      <c r="A20" s="74"/>
      <c r="B20" s="72" t="s">
        <v>86</v>
      </c>
      <c r="C20" s="180" t="s">
        <v>209</v>
      </c>
      <c r="D20" s="65"/>
      <c r="E20" s="60"/>
      <c r="F20" s="60"/>
      <c r="G20" s="60"/>
      <c r="H20" s="61"/>
      <c r="I20" s="66"/>
    </row>
    <row r="21" spans="1:9" ht="18.600000000000001" customHeight="1">
      <c r="A21" s="74"/>
      <c r="B21" s="72"/>
      <c r="C21" s="78" t="s">
        <v>210</v>
      </c>
      <c r="D21" s="65"/>
      <c r="E21" s="60"/>
      <c r="F21" s="60"/>
      <c r="G21" s="60"/>
      <c r="H21" s="61">
        <f>+'Gen 1001'!H51</f>
        <v>72</v>
      </c>
      <c r="I21" s="66"/>
    </row>
    <row r="22" spans="1:9" ht="18.600000000000001" customHeight="1">
      <c r="A22" s="74"/>
      <c r="B22" s="72"/>
      <c r="C22" s="78" t="s">
        <v>211</v>
      </c>
      <c r="D22" s="65"/>
      <c r="E22" s="60"/>
      <c r="F22" s="60"/>
      <c r="G22" s="60"/>
      <c r="H22" s="61">
        <f>+'Gen 1003'!H12</f>
        <v>97.125</v>
      </c>
      <c r="I22" s="66"/>
    </row>
    <row r="23" spans="1:9" ht="18.600000000000001" customHeight="1">
      <c r="A23" s="74"/>
      <c r="B23" s="72"/>
      <c r="C23" s="250" t="s">
        <v>17</v>
      </c>
      <c r="D23" s="76"/>
      <c r="E23" s="62"/>
      <c r="F23" s="62"/>
      <c r="G23" s="62"/>
      <c r="H23" s="285">
        <f>SUM(H21:H22)</f>
        <v>169.125</v>
      </c>
      <c r="I23" s="67" t="s">
        <v>124</v>
      </c>
    </row>
    <row r="24" spans="1:9" ht="18.600000000000001" customHeight="1">
      <c r="A24" s="74"/>
      <c r="B24" s="72"/>
      <c r="C24" s="51"/>
      <c r="D24" s="312" t="s">
        <v>206</v>
      </c>
      <c r="E24" s="312"/>
      <c r="F24" s="312"/>
      <c r="G24" s="312"/>
      <c r="H24" s="312"/>
      <c r="I24" s="313"/>
    </row>
    <row r="25" spans="1:9" ht="18.600000000000001" customHeight="1">
      <c r="A25" s="74"/>
      <c r="B25" s="72"/>
      <c r="C25" s="78"/>
      <c r="D25" s="65"/>
      <c r="E25" s="60"/>
      <c r="F25" s="60"/>
      <c r="G25" s="60"/>
      <c r="H25" s="61"/>
      <c r="I25" s="66"/>
    </row>
    <row r="26" spans="1:9" ht="18.600000000000001" customHeight="1">
      <c r="A26" s="74"/>
      <c r="B26" s="72" t="s">
        <v>87</v>
      </c>
      <c r="C26" s="180" t="s">
        <v>212</v>
      </c>
      <c r="D26" s="65"/>
      <c r="E26" s="60"/>
      <c r="F26" s="60"/>
      <c r="G26" s="60"/>
      <c r="H26" s="61"/>
      <c r="I26" s="66"/>
    </row>
    <row r="27" spans="1:9" ht="18.600000000000001" customHeight="1">
      <c r="A27" s="74"/>
      <c r="B27" s="72"/>
      <c r="C27" s="78" t="s">
        <v>210</v>
      </c>
      <c r="D27" s="65"/>
      <c r="E27" s="60"/>
      <c r="F27" s="60"/>
      <c r="G27" s="60"/>
      <c r="H27" s="61">
        <f>+'Gen 1001'!H56</f>
        <v>54</v>
      </c>
      <c r="I27" s="66"/>
    </row>
    <row r="28" spans="1:9" ht="18.600000000000001" customHeight="1">
      <c r="A28" s="74"/>
      <c r="B28" s="72"/>
      <c r="C28" s="78" t="s">
        <v>211</v>
      </c>
      <c r="D28" s="65"/>
      <c r="E28" s="60"/>
      <c r="F28" s="60"/>
      <c r="G28" s="60"/>
      <c r="H28" s="61">
        <f>+'Gen 1003'!H17</f>
        <v>393.03374999999994</v>
      </c>
      <c r="I28" s="66"/>
    </row>
    <row r="29" spans="1:9" ht="18.600000000000001" customHeight="1">
      <c r="A29" s="74"/>
      <c r="B29" s="72"/>
      <c r="C29" s="250" t="s">
        <v>17</v>
      </c>
      <c r="D29" s="76"/>
      <c r="E29" s="62"/>
      <c r="F29" s="62"/>
      <c r="G29" s="62"/>
      <c r="H29" s="285">
        <f>SUM(H27:H28)</f>
        <v>447.03374999999994</v>
      </c>
      <c r="I29" s="67" t="s">
        <v>124</v>
      </c>
    </row>
    <row r="30" spans="1:9" ht="18.600000000000001" customHeight="1">
      <c r="A30" s="74"/>
      <c r="B30" s="72"/>
      <c r="C30" s="51"/>
      <c r="D30" s="312" t="s">
        <v>206</v>
      </c>
      <c r="E30" s="312"/>
      <c r="F30" s="312"/>
      <c r="G30" s="312"/>
      <c r="H30" s="312"/>
      <c r="I30" s="313"/>
    </row>
    <row r="31" spans="1:9" ht="18.600000000000001" customHeight="1">
      <c r="A31" s="74"/>
      <c r="B31" s="72"/>
      <c r="C31" s="78"/>
      <c r="D31" s="65"/>
      <c r="E31" s="60"/>
      <c r="F31" s="60"/>
      <c r="G31" s="60"/>
      <c r="H31" s="61"/>
      <c r="I31" s="66"/>
    </row>
    <row r="32" spans="1:9" ht="18.600000000000001" customHeight="1">
      <c r="A32" s="74"/>
      <c r="B32" s="72" t="s">
        <v>187</v>
      </c>
      <c r="C32" s="51" t="s">
        <v>188</v>
      </c>
      <c r="D32" s="76"/>
      <c r="E32" s="62"/>
      <c r="F32" s="62"/>
      <c r="G32" s="62"/>
      <c r="H32" s="62"/>
      <c r="I32" s="67"/>
    </row>
    <row r="33" spans="1:9" ht="18.600000000000001" customHeight="1">
      <c r="A33" s="74"/>
      <c r="B33" s="72"/>
      <c r="C33" s="288" t="s">
        <v>220</v>
      </c>
      <c r="D33" s="76"/>
      <c r="E33" s="62"/>
      <c r="F33" s="62"/>
      <c r="G33" s="62"/>
      <c r="H33" s="61">
        <f>+'Steel 1021'!G62</f>
        <v>22.564364000000001</v>
      </c>
      <c r="I33" s="67"/>
    </row>
    <row r="34" spans="1:9" ht="18.600000000000001" customHeight="1">
      <c r="A34" s="74"/>
      <c r="B34" s="72"/>
      <c r="C34" s="78" t="s">
        <v>218</v>
      </c>
      <c r="D34" s="76"/>
      <c r="E34" s="62"/>
      <c r="F34" s="62"/>
      <c r="G34" s="62"/>
      <c r="H34" s="61">
        <f>+'Steel 1022'!G28</f>
        <v>5.4281509999999997</v>
      </c>
      <c r="I34" s="67"/>
    </row>
    <row r="35" spans="1:9" ht="18.600000000000001" customHeight="1">
      <c r="A35" s="74"/>
      <c r="B35" s="72"/>
      <c r="C35" s="250" t="s">
        <v>17</v>
      </c>
      <c r="D35" s="76"/>
      <c r="E35" s="62"/>
      <c r="F35" s="62"/>
      <c r="G35" s="62"/>
      <c r="H35" s="79">
        <f>SUM(H33:H34)</f>
        <v>27.992515000000001</v>
      </c>
      <c r="I35" s="67" t="s">
        <v>190</v>
      </c>
    </row>
    <row r="36" spans="1:9" ht="18.600000000000001" customHeight="1">
      <c r="A36" s="74"/>
      <c r="B36" s="72"/>
      <c r="C36" s="246"/>
      <c r="D36" s="312" t="s">
        <v>206</v>
      </c>
      <c r="E36" s="312"/>
      <c r="F36" s="312"/>
      <c r="G36" s="312"/>
      <c r="H36" s="312"/>
      <c r="I36" s="313"/>
    </row>
    <row r="37" spans="1:9" ht="18.600000000000001" customHeight="1">
      <c r="A37" s="74"/>
      <c r="B37" s="72"/>
      <c r="C37" s="246"/>
      <c r="D37" s="76"/>
      <c r="E37" s="62"/>
      <c r="F37" s="62"/>
      <c r="G37" s="62"/>
      <c r="H37" s="62"/>
      <c r="I37" s="67"/>
    </row>
    <row r="38" spans="1:9" ht="18.600000000000001" customHeight="1">
      <c r="A38" s="74"/>
      <c r="B38" s="72" t="s">
        <v>191</v>
      </c>
      <c r="C38" s="51" t="s">
        <v>192</v>
      </c>
      <c r="D38" s="76"/>
      <c r="E38" s="62"/>
      <c r="F38" s="62"/>
      <c r="G38" s="62"/>
      <c r="H38" s="62"/>
      <c r="I38" s="67"/>
    </row>
    <row r="39" spans="1:9" ht="18.600000000000001" customHeight="1">
      <c r="A39" s="74"/>
      <c r="B39" s="72"/>
      <c r="C39" s="288" t="s">
        <v>220</v>
      </c>
      <c r="D39" s="76"/>
      <c r="E39" s="62"/>
      <c r="F39" s="62"/>
      <c r="G39" s="62"/>
      <c r="H39" s="61">
        <f>+'Steel 1021'!G64</f>
        <v>7.6020590000000006</v>
      </c>
      <c r="I39" s="66"/>
    </row>
    <row r="40" spans="1:9" ht="18.600000000000001" customHeight="1">
      <c r="A40" s="74"/>
      <c r="B40" s="72"/>
      <c r="C40" s="78" t="s">
        <v>218</v>
      </c>
      <c r="D40" s="76"/>
      <c r="E40" s="62"/>
      <c r="F40" s="62"/>
      <c r="G40" s="62"/>
      <c r="H40" s="61">
        <f>+'Steel 1022'!G30</f>
        <v>1.2491970000000001</v>
      </c>
      <c r="I40" s="66"/>
    </row>
    <row r="41" spans="1:9" ht="18.600000000000001" customHeight="1">
      <c r="A41" s="74"/>
      <c r="B41" s="72"/>
      <c r="C41" s="250" t="s">
        <v>17</v>
      </c>
      <c r="D41" s="76"/>
      <c r="E41" s="62"/>
      <c r="F41" s="62"/>
      <c r="G41" s="62"/>
      <c r="H41" s="79">
        <f>SUM(H39:H40)</f>
        <v>8.8512560000000011</v>
      </c>
      <c r="I41" s="80" t="s">
        <v>190</v>
      </c>
    </row>
    <row r="42" spans="1:9" ht="18.600000000000001" customHeight="1">
      <c r="A42" s="74"/>
      <c r="B42" s="72"/>
      <c r="C42" s="246"/>
      <c r="D42" s="312" t="s">
        <v>206</v>
      </c>
      <c r="E42" s="312"/>
      <c r="F42" s="312"/>
      <c r="G42" s="312"/>
      <c r="H42" s="312"/>
      <c r="I42" s="313"/>
    </row>
    <row r="43" spans="1:9" ht="18.600000000000001" customHeight="1">
      <c r="A43" s="74"/>
      <c r="B43" s="72"/>
      <c r="C43" s="78"/>
      <c r="D43" s="65"/>
      <c r="E43" s="60"/>
      <c r="F43" s="60"/>
      <c r="G43" s="60"/>
      <c r="H43" s="61"/>
      <c r="I43" s="66"/>
    </row>
    <row r="44" spans="1:9">
      <c r="A44" s="75"/>
      <c r="B44" s="45"/>
      <c r="C44" s="49"/>
      <c r="D44" s="77"/>
      <c r="E44" s="63"/>
      <c r="F44" s="63"/>
      <c r="G44" s="63"/>
      <c r="H44" s="63"/>
      <c r="I44" s="68"/>
    </row>
    <row r="45" spans="1:9">
      <c r="A45" s="75"/>
      <c r="B45" s="45"/>
      <c r="C45" s="49"/>
      <c r="D45" s="77"/>
      <c r="E45" s="63"/>
      <c r="F45" s="63"/>
      <c r="G45" s="63"/>
      <c r="H45" s="63"/>
      <c r="I45" s="68"/>
    </row>
    <row r="46" spans="1:9" ht="14.25" customHeight="1">
      <c r="A46" s="75"/>
      <c r="B46" s="45"/>
      <c r="C46" s="49"/>
      <c r="D46" s="77"/>
      <c r="E46" s="63"/>
      <c r="F46" s="63"/>
      <c r="G46" s="63"/>
      <c r="H46" s="63"/>
      <c r="I46" s="68"/>
    </row>
    <row r="47" spans="1:9">
      <c r="A47" s="75"/>
      <c r="B47" s="45"/>
      <c r="C47" s="49"/>
      <c r="D47" s="77"/>
      <c r="E47" s="63"/>
      <c r="F47" s="63"/>
      <c r="G47" s="63"/>
      <c r="H47" s="63"/>
      <c r="I47" s="68"/>
    </row>
    <row r="48" spans="1:9">
      <c r="A48" s="75"/>
      <c r="B48" s="45"/>
      <c r="C48" s="49"/>
      <c r="D48" s="77"/>
      <c r="E48" s="63"/>
      <c r="F48" s="63"/>
      <c r="G48" s="63"/>
      <c r="H48" s="63"/>
      <c r="I48" s="68"/>
    </row>
    <row r="49" spans="1:9">
      <c r="A49" s="75"/>
      <c r="B49" s="45"/>
      <c r="C49" s="49"/>
      <c r="D49" s="77"/>
      <c r="E49" s="63"/>
      <c r="F49" s="63"/>
      <c r="G49" s="63"/>
      <c r="H49" s="63"/>
      <c r="I49" s="68"/>
    </row>
    <row r="50" spans="1:9">
      <c r="A50" s="75"/>
      <c r="B50" s="45"/>
      <c r="C50" s="49"/>
      <c r="D50" s="77"/>
      <c r="E50" s="63"/>
      <c r="F50" s="63"/>
      <c r="G50" s="63"/>
      <c r="H50" s="63"/>
      <c r="I50" s="68"/>
    </row>
    <row r="51" spans="1:9">
      <c r="A51" s="75"/>
      <c r="B51" s="45"/>
      <c r="C51" s="49"/>
      <c r="D51" s="77"/>
      <c r="E51" s="63"/>
      <c r="F51" s="63"/>
      <c r="G51" s="63"/>
      <c r="H51" s="63"/>
      <c r="I51" s="68"/>
    </row>
    <row r="52" spans="1:9">
      <c r="A52" s="75"/>
      <c r="B52" s="45"/>
      <c r="C52" s="49"/>
      <c r="D52" s="77"/>
      <c r="E52" s="63"/>
      <c r="F52" s="63"/>
      <c r="G52" s="63"/>
      <c r="H52" s="63"/>
      <c r="I52" s="68"/>
    </row>
    <row r="53" spans="1:9">
      <c r="A53" s="75"/>
      <c r="B53" s="45"/>
      <c r="C53" s="49"/>
      <c r="D53" s="77"/>
      <c r="E53" s="63"/>
      <c r="F53" s="63"/>
      <c r="G53" s="63"/>
      <c r="H53" s="63"/>
      <c r="I53" s="68"/>
    </row>
    <row r="54" spans="1:9">
      <c r="A54" s="75"/>
      <c r="B54" s="45"/>
      <c r="C54" s="49"/>
      <c r="D54" s="77"/>
      <c r="E54" s="63"/>
      <c r="F54" s="63"/>
      <c r="G54" s="63"/>
      <c r="H54" s="63"/>
      <c r="I54" s="68"/>
    </row>
    <row r="55" spans="1:9">
      <c r="A55" s="75"/>
      <c r="B55" s="45"/>
      <c r="C55" s="49"/>
      <c r="D55" s="77"/>
      <c r="E55" s="63"/>
      <c r="F55" s="63"/>
      <c r="G55" s="63"/>
      <c r="H55" s="63"/>
      <c r="I55" s="68"/>
    </row>
    <row r="56" spans="1:9">
      <c r="A56" s="75"/>
      <c r="B56" s="45"/>
      <c r="C56" s="49"/>
      <c r="D56" s="77"/>
      <c r="E56" s="63"/>
      <c r="F56" s="63"/>
      <c r="G56" s="63"/>
      <c r="H56" s="63"/>
      <c r="I56" s="68"/>
    </row>
    <row r="57" spans="1:9">
      <c r="A57" s="75"/>
      <c r="B57" s="45"/>
      <c r="C57" s="49"/>
      <c r="D57" s="77"/>
      <c r="E57" s="63"/>
      <c r="F57" s="63"/>
      <c r="G57" s="63"/>
      <c r="H57" s="63"/>
      <c r="I57" s="68"/>
    </row>
    <row r="58" spans="1:9">
      <c r="A58" s="75"/>
      <c r="B58" s="45"/>
      <c r="C58" s="49"/>
      <c r="D58" s="77"/>
      <c r="E58" s="63"/>
      <c r="F58" s="63"/>
      <c r="G58" s="63"/>
      <c r="H58" s="63"/>
      <c r="I58" s="68"/>
    </row>
    <row r="59" spans="1:9">
      <c r="A59" s="75"/>
      <c r="B59" s="45"/>
      <c r="C59" s="49"/>
      <c r="D59" s="77"/>
      <c r="E59" s="63"/>
      <c r="F59" s="63"/>
      <c r="G59" s="63"/>
      <c r="H59" s="63"/>
      <c r="I59" s="68"/>
    </row>
    <row r="60" spans="1:9">
      <c r="A60" s="75"/>
      <c r="B60" s="45"/>
      <c r="C60" s="49"/>
      <c r="D60" s="77"/>
      <c r="E60" s="63"/>
      <c r="F60" s="63"/>
      <c r="G60" s="63"/>
      <c r="H60" s="63"/>
      <c r="I60" s="68"/>
    </row>
    <row r="61" spans="1:9">
      <c r="A61" s="75"/>
      <c r="B61" s="45"/>
      <c r="C61" s="49"/>
      <c r="D61" s="77"/>
      <c r="E61" s="63"/>
      <c r="F61" s="63"/>
      <c r="G61" s="63"/>
      <c r="H61" s="63"/>
      <c r="I61" s="68"/>
    </row>
    <row r="62" spans="1:9">
      <c r="A62" s="75"/>
      <c r="B62" s="45"/>
      <c r="C62" s="49"/>
      <c r="D62" s="77"/>
      <c r="E62" s="63"/>
      <c r="F62" s="63"/>
      <c r="G62" s="63"/>
      <c r="H62" s="63"/>
      <c r="I62" s="68"/>
    </row>
    <row r="63" spans="1:9">
      <c r="A63" s="75"/>
      <c r="B63" s="45"/>
      <c r="C63" s="49"/>
      <c r="D63" s="77"/>
      <c r="E63" s="63"/>
      <c r="F63" s="63"/>
      <c r="G63" s="63"/>
      <c r="H63" s="63"/>
      <c r="I63" s="68"/>
    </row>
    <row r="64" spans="1:9">
      <c r="A64" s="75"/>
      <c r="B64" s="45"/>
      <c r="C64" s="49"/>
      <c r="D64" s="77"/>
      <c r="E64" s="63"/>
      <c r="F64" s="63"/>
      <c r="G64" s="63"/>
      <c r="H64" s="63"/>
      <c r="I64" s="68"/>
    </row>
    <row r="65" spans="1:9">
      <c r="A65" s="75"/>
      <c r="B65" s="45"/>
      <c r="C65" s="49"/>
      <c r="D65" s="77"/>
      <c r="E65" s="63"/>
      <c r="F65" s="63"/>
      <c r="G65" s="63"/>
      <c r="H65" s="63"/>
      <c r="I65" s="68"/>
    </row>
    <row r="66" spans="1:9">
      <c r="A66" s="75"/>
      <c r="B66" s="45"/>
      <c r="C66" s="49"/>
      <c r="D66" s="77"/>
      <c r="E66" s="63"/>
      <c r="F66" s="63"/>
      <c r="G66" s="63"/>
      <c r="H66" s="63"/>
      <c r="I66" s="68"/>
    </row>
    <row r="67" spans="1:9">
      <c r="A67" s="75"/>
      <c r="B67" s="45"/>
      <c r="C67" s="49"/>
      <c r="D67" s="77"/>
      <c r="E67" s="63"/>
      <c r="F67" s="63"/>
      <c r="G67" s="63"/>
      <c r="H67" s="63"/>
      <c r="I67" s="68"/>
    </row>
    <row r="68" spans="1:9">
      <c r="A68" s="75"/>
      <c r="B68" s="45"/>
      <c r="C68" s="49"/>
      <c r="D68" s="77"/>
      <c r="E68" s="63"/>
      <c r="F68" s="63"/>
      <c r="G68" s="63"/>
      <c r="H68" s="63"/>
      <c r="I68" s="68"/>
    </row>
    <row r="69" spans="1:9">
      <c r="A69" s="75"/>
      <c r="B69" s="45"/>
      <c r="C69" s="49"/>
      <c r="D69" s="77"/>
      <c r="E69" s="63"/>
      <c r="F69" s="63"/>
      <c r="G69" s="63"/>
      <c r="H69" s="63"/>
      <c r="I69" s="68"/>
    </row>
    <row r="70" spans="1:9">
      <c r="A70" s="75"/>
      <c r="B70" s="45"/>
      <c r="C70" s="49"/>
      <c r="D70" s="77"/>
      <c r="E70" s="63"/>
      <c r="F70" s="63"/>
      <c r="G70" s="63"/>
      <c r="H70" s="63"/>
      <c r="I70" s="68"/>
    </row>
    <row r="71" spans="1:9">
      <c r="A71" s="75"/>
      <c r="B71" s="45"/>
      <c r="C71" s="49"/>
      <c r="D71" s="77"/>
      <c r="E71" s="63"/>
      <c r="F71" s="63"/>
      <c r="G71" s="63"/>
      <c r="H71" s="63"/>
      <c r="I71" s="68"/>
    </row>
    <row r="72" spans="1:9">
      <c r="A72" s="75"/>
      <c r="B72" s="45"/>
      <c r="C72" s="49"/>
      <c r="D72" s="77"/>
      <c r="E72" s="63"/>
      <c r="F72" s="63"/>
      <c r="G72" s="63"/>
      <c r="H72" s="63"/>
      <c r="I72" s="68"/>
    </row>
    <row r="73" spans="1:9">
      <c r="A73" s="75"/>
      <c r="B73" s="45"/>
      <c r="C73" s="49"/>
      <c r="D73" s="77"/>
      <c r="E73" s="63"/>
      <c r="F73" s="63"/>
      <c r="G73" s="63"/>
      <c r="H73" s="63"/>
      <c r="I73" s="68"/>
    </row>
    <row r="74" spans="1:9">
      <c r="A74" s="75"/>
      <c r="B74" s="45"/>
      <c r="C74" s="49"/>
      <c r="D74" s="77"/>
      <c r="E74" s="63"/>
      <c r="F74" s="63"/>
      <c r="G74" s="63"/>
      <c r="H74" s="63"/>
      <c r="I74" s="68"/>
    </row>
    <row r="75" spans="1:9">
      <c r="A75" s="44"/>
      <c r="B75" s="45"/>
      <c r="C75" s="49"/>
      <c r="D75" s="77"/>
      <c r="E75" s="63"/>
      <c r="F75" s="63"/>
      <c r="G75" s="63"/>
      <c r="H75" s="63"/>
      <c r="I75" s="68"/>
    </row>
    <row r="76" spans="1:9">
      <c r="A76" s="44"/>
      <c r="B76" s="45"/>
      <c r="C76" s="49"/>
      <c r="D76" s="77"/>
      <c r="E76" s="63"/>
      <c r="F76" s="63"/>
      <c r="G76" s="63"/>
      <c r="H76" s="63"/>
      <c r="I76" s="68"/>
    </row>
    <row r="77" spans="1:9">
      <c r="A77" s="44"/>
      <c r="B77" s="45"/>
      <c r="C77" s="49"/>
      <c r="D77" s="77"/>
      <c r="E77" s="63"/>
      <c r="F77" s="63"/>
      <c r="G77" s="63"/>
      <c r="H77" s="63"/>
      <c r="I77" s="68"/>
    </row>
    <row r="78" spans="1:9">
      <c r="A78" s="44"/>
      <c r="B78" s="45"/>
      <c r="C78" s="49"/>
      <c r="D78" s="77"/>
      <c r="E78" s="63"/>
      <c r="F78" s="63"/>
      <c r="G78" s="63"/>
      <c r="H78" s="63"/>
      <c r="I78" s="68"/>
    </row>
    <row r="79" spans="1:9">
      <c r="A79" s="44"/>
      <c r="B79" s="45"/>
      <c r="C79" s="49"/>
      <c r="D79" s="77"/>
      <c r="E79" s="63"/>
      <c r="F79" s="63"/>
      <c r="G79" s="63"/>
      <c r="H79" s="63"/>
      <c r="I79" s="68"/>
    </row>
    <row r="80" spans="1:9">
      <c r="A80" s="44"/>
      <c r="B80" s="45"/>
      <c r="C80" s="49"/>
      <c r="D80" s="77"/>
      <c r="E80" s="63"/>
      <c r="F80" s="63"/>
      <c r="G80" s="63"/>
      <c r="H80" s="63"/>
      <c r="I80" s="68"/>
    </row>
    <row r="81" spans="1:9">
      <c r="A81" s="44"/>
      <c r="B81" s="45"/>
      <c r="C81" s="49"/>
      <c r="D81" s="77"/>
      <c r="E81" s="63"/>
      <c r="F81" s="63"/>
      <c r="G81" s="63"/>
      <c r="H81" s="63"/>
      <c r="I81" s="68"/>
    </row>
    <row r="82" spans="1:9">
      <c r="A82" s="46"/>
      <c r="B82" s="47"/>
      <c r="C82" s="52"/>
      <c r="D82" s="69"/>
      <c r="E82" s="46"/>
      <c r="F82" s="46"/>
      <c r="G82" s="46"/>
      <c r="H82" s="46"/>
      <c r="I82" s="69"/>
    </row>
    <row r="83" spans="1:9">
      <c r="A83" s="46"/>
      <c r="B83" s="47"/>
      <c r="C83" s="52"/>
      <c r="D83" s="69"/>
      <c r="E83" s="46"/>
      <c r="F83" s="46"/>
      <c r="G83" s="46"/>
      <c r="H83" s="46"/>
      <c r="I83" s="69"/>
    </row>
    <row r="84" spans="1:9">
      <c r="A84" s="46"/>
      <c r="B84" s="47"/>
      <c r="C84" s="52"/>
      <c r="D84" s="69"/>
      <c r="E84" s="46"/>
      <c r="F84" s="46"/>
      <c r="G84" s="46"/>
      <c r="H84" s="46"/>
      <c r="I84" s="69"/>
    </row>
    <row r="85" spans="1:9">
      <c r="A85" s="46"/>
      <c r="B85" s="47"/>
      <c r="C85" s="52"/>
      <c r="D85" s="69"/>
      <c r="E85" s="46"/>
      <c r="F85" s="46"/>
      <c r="G85" s="46"/>
      <c r="H85" s="46"/>
      <c r="I85" s="69"/>
    </row>
    <row r="86" spans="1:9">
      <c r="A86" s="46"/>
      <c r="B86" s="47"/>
      <c r="C86" s="52"/>
      <c r="D86" s="69"/>
      <c r="E86" s="46"/>
      <c r="F86" s="46"/>
      <c r="G86" s="46"/>
      <c r="H86" s="46"/>
      <c r="I86" s="69"/>
    </row>
    <row r="87" spans="1:9">
      <c r="A87" s="46"/>
      <c r="B87" s="47"/>
      <c r="C87" s="52"/>
      <c r="D87" s="69"/>
      <c r="E87" s="46"/>
      <c r="F87" s="46"/>
      <c r="G87" s="46"/>
      <c r="H87" s="46"/>
      <c r="I87" s="69"/>
    </row>
    <row r="88" spans="1:9">
      <c r="A88" s="46"/>
      <c r="B88" s="47"/>
      <c r="C88" s="52"/>
      <c r="D88" s="69"/>
      <c r="E88" s="46"/>
      <c r="F88" s="46"/>
      <c r="G88" s="46"/>
      <c r="H88" s="46"/>
      <c r="I88" s="69"/>
    </row>
    <row r="89" spans="1:9">
      <c r="A89" s="46"/>
      <c r="B89" s="47"/>
      <c r="C89" s="52"/>
      <c r="D89" s="69"/>
      <c r="E89" s="46"/>
      <c r="F89" s="46"/>
      <c r="G89" s="46"/>
      <c r="H89" s="46"/>
      <c r="I89" s="69"/>
    </row>
    <row r="90" spans="1:9">
      <c r="A90" s="46"/>
      <c r="B90" s="47"/>
      <c r="C90" s="52"/>
      <c r="D90" s="69"/>
      <c r="E90" s="46"/>
      <c r="F90" s="46"/>
      <c r="G90" s="46"/>
      <c r="H90" s="46"/>
      <c r="I90" s="69"/>
    </row>
    <row r="91" spans="1:9">
      <c r="A91" s="46"/>
      <c r="B91" s="47"/>
      <c r="C91" s="52"/>
      <c r="D91" s="69"/>
      <c r="E91" s="46"/>
      <c r="F91" s="46"/>
      <c r="G91" s="46"/>
      <c r="H91" s="46"/>
      <c r="I91" s="69"/>
    </row>
    <row r="92" spans="1:9">
      <c r="A92" s="46"/>
      <c r="B92" s="47"/>
      <c r="C92" s="52"/>
      <c r="D92" s="69"/>
      <c r="E92" s="46"/>
      <c r="F92" s="46"/>
      <c r="G92" s="46"/>
      <c r="H92" s="46"/>
      <c r="I92" s="69"/>
    </row>
    <row r="93" spans="1:9">
      <c r="A93" s="46"/>
      <c r="B93" s="47"/>
      <c r="C93" s="52"/>
      <c r="D93" s="69"/>
      <c r="E93" s="46"/>
      <c r="F93" s="46"/>
      <c r="G93" s="46"/>
      <c r="H93" s="46"/>
      <c r="I93" s="69"/>
    </row>
    <row r="94" spans="1:9">
      <c r="A94" s="46"/>
      <c r="B94" s="47"/>
      <c r="C94" s="52"/>
      <c r="D94" s="69"/>
      <c r="E94" s="46"/>
      <c r="F94" s="46"/>
      <c r="G94" s="46"/>
      <c r="H94" s="46"/>
      <c r="I94" s="69"/>
    </row>
    <row r="95" spans="1:9">
      <c r="A95" s="46"/>
      <c r="B95" s="47"/>
      <c r="C95" s="52"/>
      <c r="D95" s="69"/>
      <c r="E95" s="46"/>
      <c r="F95" s="46"/>
      <c r="G95" s="46"/>
      <c r="H95" s="46"/>
      <c r="I95" s="69"/>
    </row>
    <row r="96" spans="1:9">
      <c r="A96" s="46"/>
      <c r="B96" s="47"/>
      <c r="C96" s="52"/>
      <c r="D96" s="69"/>
      <c r="E96" s="46"/>
      <c r="F96" s="46"/>
      <c r="G96" s="46"/>
      <c r="H96" s="46"/>
      <c r="I96" s="69"/>
    </row>
    <row r="97" spans="1:9">
      <c r="A97" s="46"/>
      <c r="B97" s="47"/>
      <c r="C97" s="52"/>
      <c r="D97" s="69"/>
      <c r="E97" s="46"/>
      <c r="F97" s="46"/>
      <c r="G97" s="46"/>
      <c r="H97" s="46"/>
      <c r="I97" s="69"/>
    </row>
    <row r="98" spans="1:9">
      <c r="A98" s="46"/>
      <c r="B98" s="47"/>
      <c r="C98" s="52"/>
      <c r="D98" s="69"/>
      <c r="E98" s="46"/>
      <c r="F98" s="46"/>
      <c r="G98" s="46"/>
      <c r="H98" s="46"/>
      <c r="I98" s="69"/>
    </row>
    <row r="99" spans="1:9">
      <c r="A99" s="46"/>
      <c r="B99" s="47"/>
      <c r="C99" s="52"/>
      <c r="D99" s="69"/>
      <c r="E99" s="46"/>
      <c r="F99" s="46"/>
      <c r="G99" s="46"/>
      <c r="H99" s="46"/>
      <c r="I99" s="69"/>
    </row>
    <row r="100" spans="1:9">
      <c r="A100" s="46"/>
      <c r="B100" s="47"/>
      <c r="C100" s="52"/>
      <c r="D100" s="69"/>
      <c r="E100" s="46"/>
      <c r="F100" s="46"/>
      <c r="G100" s="46"/>
      <c r="H100" s="46"/>
      <c r="I100" s="69"/>
    </row>
    <row r="101" spans="1:9">
      <c r="A101" s="46"/>
      <c r="B101" s="47"/>
      <c r="C101" s="52"/>
      <c r="D101" s="69"/>
      <c r="E101" s="46"/>
      <c r="F101" s="46"/>
      <c r="G101" s="46"/>
      <c r="H101" s="46"/>
      <c r="I101" s="69"/>
    </row>
    <row r="102" spans="1:9">
      <c r="A102" s="46"/>
      <c r="B102" s="47"/>
      <c r="C102" s="52"/>
      <c r="D102" s="69"/>
      <c r="E102" s="46"/>
      <c r="F102" s="46"/>
      <c r="G102" s="46"/>
      <c r="H102" s="46"/>
      <c r="I102" s="69"/>
    </row>
    <row r="103" spans="1:9">
      <c r="A103" s="46"/>
      <c r="B103" s="47"/>
      <c r="C103" s="52"/>
      <c r="D103" s="69"/>
      <c r="E103" s="46"/>
      <c r="F103" s="46"/>
      <c r="G103" s="46"/>
      <c r="H103" s="46"/>
      <c r="I103" s="69"/>
    </row>
    <row r="104" spans="1:9">
      <c r="A104" s="46"/>
      <c r="B104" s="47"/>
      <c r="C104" s="52"/>
      <c r="D104" s="69"/>
      <c r="E104" s="46"/>
      <c r="F104" s="46"/>
      <c r="G104" s="46"/>
      <c r="H104" s="46"/>
      <c r="I104" s="69"/>
    </row>
    <row r="105" spans="1:9">
      <c r="A105" s="46"/>
      <c r="B105" s="47"/>
      <c r="C105" s="52"/>
      <c r="D105" s="69"/>
      <c r="E105" s="46"/>
      <c r="F105" s="46"/>
      <c r="G105" s="46"/>
      <c r="H105" s="46"/>
      <c r="I105" s="69"/>
    </row>
    <row r="106" spans="1:9">
      <c r="A106" s="46"/>
      <c r="B106" s="47"/>
      <c r="C106" s="52"/>
      <c r="D106" s="69"/>
      <c r="E106" s="46"/>
      <c r="F106" s="46"/>
      <c r="G106" s="46"/>
      <c r="H106" s="46"/>
      <c r="I106" s="69"/>
    </row>
    <row r="107" spans="1:9">
      <c r="A107" s="46"/>
      <c r="B107" s="47"/>
      <c r="C107" s="52"/>
      <c r="D107" s="69"/>
      <c r="E107" s="46"/>
      <c r="F107" s="46"/>
      <c r="G107" s="46"/>
      <c r="H107" s="46"/>
      <c r="I107" s="69"/>
    </row>
    <row r="108" spans="1:9">
      <c r="A108" s="46"/>
      <c r="B108" s="47"/>
      <c r="C108" s="52"/>
      <c r="D108" s="69"/>
      <c r="E108" s="46"/>
      <c r="F108" s="46"/>
      <c r="G108" s="46"/>
      <c r="H108" s="46"/>
      <c r="I108" s="69"/>
    </row>
    <row r="109" spans="1:9">
      <c r="A109" s="46"/>
      <c r="B109" s="47"/>
      <c r="C109" s="52"/>
      <c r="D109" s="69"/>
      <c r="E109" s="46"/>
      <c r="F109" s="46"/>
      <c r="G109" s="46"/>
      <c r="H109" s="46"/>
      <c r="I109" s="69"/>
    </row>
    <row r="110" spans="1:9">
      <c r="A110" s="46"/>
      <c r="B110" s="47"/>
      <c r="C110" s="52"/>
      <c r="D110" s="69"/>
      <c r="E110" s="46"/>
      <c r="F110" s="46"/>
      <c r="G110" s="46"/>
      <c r="H110" s="46"/>
      <c r="I110" s="69"/>
    </row>
    <row r="111" spans="1:9">
      <c r="A111" s="46"/>
      <c r="B111" s="47"/>
      <c r="C111" s="52"/>
      <c r="D111" s="69"/>
      <c r="E111" s="46"/>
      <c r="F111" s="46"/>
      <c r="G111" s="46"/>
      <c r="H111" s="46"/>
      <c r="I111" s="69"/>
    </row>
    <row r="112" spans="1:9">
      <c r="A112" s="46"/>
      <c r="B112" s="47"/>
      <c r="C112" s="52"/>
      <c r="D112" s="69"/>
      <c r="E112" s="46"/>
      <c r="F112" s="46"/>
      <c r="G112" s="46"/>
      <c r="H112" s="46"/>
      <c r="I112" s="69"/>
    </row>
    <row r="113" spans="1:9">
      <c r="A113" s="46"/>
      <c r="B113" s="47"/>
      <c r="C113" s="52"/>
      <c r="D113" s="69"/>
      <c r="E113" s="46"/>
      <c r="F113" s="46"/>
      <c r="G113" s="46"/>
      <c r="H113" s="46"/>
      <c r="I113" s="69"/>
    </row>
    <row r="114" spans="1:9">
      <c r="A114" s="46"/>
      <c r="B114" s="47"/>
      <c r="C114" s="52"/>
      <c r="D114" s="69"/>
      <c r="E114" s="46"/>
      <c r="F114" s="46"/>
      <c r="G114" s="46"/>
      <c r="H114" s="46"/>
      <c r="I114" s="69"/>
    </row>
    <row r="115" spans="1:9">
      <c r="A115" s="46"/>
      <c r="B115" s="47"/>
      <c r="C115" s="52"/>
      <c r="D115" s="69"/>
      <c r="E115" s="46"/>
      <c r="F115" s="46"/>
      <c r="G115" s="46"/>
      <c r="H115" s="46"/>
      <c r="I115" s="69"/>
    </row>
    <row r="116" spans="1:9">
      <c r="A116" s="46"/>
      <c r="B116" s="47"/>
      <c r="C116" s="52"/>
      <c r="D116" s="69"/>
      <c r="E116" s="46"/>
      <c r="F116" s="46"/>
      <c r="G116" s="46"/>
      <c r="H116" s="46"/>
      <c r="I116" s="69"/>
    </row>
    <row r="117" spans="1:9">
      <c r="A117" s="46"/>
      <c r="B117" s="47"/>
      <c r="C117" s="52"/>
      <c r="D117" s="69"/>
      <c r="E117" s="46"/>
      <c r="F117" s="46"/>
      <c r="G117" s="46"/>
      <c r="H117" s="46"/>
      <c r="I117" s="69"/>
    </row>
    <row r="118" spans="1:9">
      <c r="A118" s="46"/>
      <c r="B118" s="47"/>
      <c r="C118" s="52"/>
      <c r="D118" s="69"/>
      <c r="E118" s="46"/>
      <c r="F118" s="46"/>
      <c r="G118" s="46"/>
      <c r="H118" s="46"/>
      <c r="I118" s="69"/>
    </row>
    <row r="119" spans="1:9">
      <c r="A119" s="46"/>
      <c r="B119" s="47"/>
      <c r="C119" s="52"/>
      <c r="D119" s="69"/>
      <c r="E119" s="46"/>
      <c r="F119" s="46"/>
      <c r="G119" s="46"/>
      <c r="H119" s="46"/>
      <c r="I119" s="69"/>
    </row>
    <row r="120" spans="1:9">
      <c r="A120" s="46"/>
      <c r="B120" s="47"/>
      <c r="C120" s="52"/>
      <c r="D120" s="69"/>
      <c r="E120" s="46"/>
      <c r="F120" s="46"/>
      <c r="G120" s="46"/>
      <c r="H120" s="46"/>
      <c r="I120" s="69"/>
    </row>
    <row r="121" spans="1:9">
      <c r="A121" s="46"/>
      <c r="B121" s="47"/>
      <c r="C121" s="52"/>
      <c r="D121" s="69"/>
      <c r="E121" s="46"/>
      <c r="F121" s="46"/>
      <c r="G121" s="46"/>
      <c r="H121" s="46"/>
      <c r="I121" s="69"/>
    </row>
    <row r="122" spans="1:9">
      <c r="A122" s="46"/>
      <c r="B122" s="47"/>
      <c r="C122" s="52"/>
      <c r="D122" s="69"/>
      <c r="E122" s="46"/>
      <c r="F122" s="46"/>
      <c r="G122" s="46"/>
      <c r="H122" s="46"/>
      <c r="I122" s="69"/>
    </row>
    <row r="123" spans="1:9">
      <c r="A123" s="46"/>
      <c r="B123" s="47"/>
      <c r="C123" s="52"/>
      <c r="D123" s="69"/>
      <c r="E123" s="46"/>
      <c r="F123" s="46"/>
      <c r="G123" s="46"/>
      <c r="H123" s="46"/>
      <c r="I123" s="69"/>
    </row>
    <row r="124" spans="1:9">
      <c r="A124" s="46"/>
      <c r="B124" s="47"/>
      <c r="C124" s="52"/>
      <c r="D124" s="69"/>
      <c r="E124" s="46"/>
      <c r="F124" s="46"/>
      <c r="G124" s="46"/>
      <c r="H124" s="46"/>
      <c r="I124" s="69"/>
    </row>
    <row r="125" spans="1:9">
      <c r="A125" s="46"/>
      <c r="B125" s="47"/>
      <c r="C125" s="52"/>
      <c r="D125" s="69"/>
      <c r="E125" s="46"/>
      <c r="F125" s="46"/>
      <c r="G125" s="46"/>
      <c r="H125" s="46"/>
      <c r="I125" s="69"/>
    </row>
    <row r="126" spans="1:9">
      <c r="A126" s="46"/>
      <c r="B126" s="47"/>
      <c r="C126" s="52"/>
      <c r="D126" s="69"/>
      <c r="E126" s="46"/>
      <c r="F126" s="46"/>
      <c r="G126" s="46"/>
      <c r="H126" s="46"/>
      <c r="I126" s="69"/>
    </row>
    <row r="127" spans="1:9">
      <c r="A127" s="46"/>
      <c r="B127" s="47"/>
      <c r="C127" s="52"/>
      <c r="D127" s="69"/>
      <c r="E127" s="46"/>
      <c r="F127" s="46"/>
      <c r="G127" s="46"/>
      <c r="H127" s="46"/>
      <c r="I127" s="69"/>
    </row>
    <row r="128" spans="1:9">
      <c r="A128" s="46"/>
      <c r="B128" s="47"/>
      <c r="C128" s="52"/>
      <c r="D128" s="69"/>
      <c r="E128" s="46"/>
      <c r="F128" s="46"/>
      <c r="G128" s="46"/>
      <c r="H128" s="46"/>
      <c r="I128" s="69"/>
    </row>
    <row r="129" spans="1:9">
      <c r="A129" s="46"/>
      <c r="B129" s="47"/>
      <c r="C129" s="52"/>
      <c r="D129" s="69"/>
      <c r="E129" s="46"/>
      <c r="F129" s="46"/>
      <c r="G129" s="46"/>
      <c r="H129" s="46"/>
      <c r="I129" s="69"/>
    </row>
    <row r="130" spans="1:9">
      <c r="A130" s="46"/>
      <c r="B130" s="47"/>
      <c r="C130" s="52"/>
      <c r="D130" s="69"/>
      <c r="E130" s="46"/>
      <c r="F130" s="46"/>
      <c r="G130" s="46"/>
      <c r="H130" s="46"/>
      <c r="I130" s="69"/>
    </row>
    <row r="131" spans="1:9">
      <c r="A131" s="46"/>
      <c r="B131" s="47"/>
      <c r="C131" s="52"/>
      <c r="D131" s="69"/>
      <c r="E131" s="46"/>
      <c r="F131" s="46"/>
      <c r="G131" s="46"/>
      <c r="H131" s="46"/>
      <c r="I131" s="69"/>
    </row>
    <row r="132" spans="1:9">
      <c r="A132" s="46"/>
      <c r="B132" s="47"/>
      <c r="C132" s="52"/>
      <c r="D132" s="69"/>
      <c r="E132" s="46"/>
      <c r="F132" s="46"/>
      <c r="G132" s="46"/>
      <c r="H132" s="46"/>
      <c r="I132" s="69"/>
    </row>
    <row r="133" spans="1:9">
      <c r="A133" s="46"/>
      <c r="B133" s="47"/>
      <c r="C133" s="52"/>
      <c r="D133" s="69"/>
      <c r="E133" s="46"/>
      <c r="F133" s="46"/>
      <c r="G133" s="46"/>
      <c r="H133" s="46"/>
      <c r="I133" s="69"/>
    </row>
    <row r="134" spans="1:9">
      <c r="A134" s="46"/>
      <c r="B134" s="47"/>
      <c r="C134" s="52"/>
      <c r="D134" s="69"/>
      <c r="E134" s="46"/>
      <c r="F134" s="46"/>
      <c r="G134" s="46"/>
      <c r="H134" s="46"/>
      <c r="I134" s="69"/>
    </row>
    <row r="135" spans="1:9">
      <c r="A135" s="46"/>
      <c r="B135" s="47"/>
      <c r="C135" s="52"/>
      <c r="D135" s="69"/>
      <c r="E135" s="46"/>
      <c r="F135" s="46"/>
      <c r="G135" s="46"/>
      <c r="H135" s="46"/>
      <c r="I135" s="69"/>
    </row>
    <row r="136" spans="1:9">
      <c r="A136" s="46"/>
      <c r="B136" s="47"/>
      <c r="C136" s="52"/>
      <c r="D136" s="69"/>
      <c r="E136" s="46"/>
      <c r="F136" s="46"/>
      <c r="G136" s="46"/>
      <c r="H136" s="46"/>
      <c r="I136" s="69"/>
    </row>
    <row r="137" spans="1:9">
      <c r="A137" s="46"/>
      <c r="B137" s="47"/>
      <c r="C137" s="52"/>
      <c r="D137" s="69"/>
      <c r="E137" s="46"/>
      <c r="F137" s="46"/>
      <c r="G137" s="46"/>
      <c r="H137" s="46"/>
      <c r="I137" s="69"/>
    </row>
    <row r="138" spans="1:9">
      <c r="A138" s="46"/>
      <c r="B138" s="47"/>
      <c r="C138" s="52"/>
      <c r="D138" s="69"/>
      <c r="E138" s="46"/>
      <c r="F138" s="46"/>
      <c r="G138" s="46"/>
      <c r="H138" s="46"/>
      <c r="I138" s="69"/>
    </row>
    <row r="139" spans="1:9">
      <c r="A139" s="46"/>
      <c r="B139" s="47"/>
      <c r="C139" s="52"/>
      <c r="D139" s="69"/>
      <c r="E139" s="46"/>
      <c r="F139" s="46"/>
      <c r="G139" s="46"/>
      <c r="H139" s="46"/>
      <c r="I139" s="69"/>
    </row>
    <row r="140" spans="1:9">
      <c r="A140" s="46"/>
      <c r="B140" s="47"/>
      <c r="C140" s="52"/>
      <c r="D140" s="69"/>
      <c r="E140" s="46"/>
      <c r="F140" s="46"/>
      <c r="G140" s="46"/>
      <c r="H140" s="46"/>
      <c r="I140" s="69"/>
    </row>
    <row r="141" spans="1:9">
      <c r="A141" s="46"/>
      <c r="B141" s="47"/>
      <c r="C141" s="52"/>
      <c r="D141" s="69"/>
      <c r="E141" s="46"/>
      <c r="F141" s="46"/>
      <c r="G141" s="46"/>
      <c r="H141" s="46"/>
      <c r="I141" s="69"/>
    </row>
    <row r="142" spans="1:9">
      <c r="A142" s="46"/>
      <c r="B142" s="47"/>
      <c r="C142" s="52"/>
      <c r="D142" s="69"/>
      <c r="E142" s="46"/>
      <c r="F142" s="46"/>
      <c r="G142" s="46"/>
      <c r="H142" s="46"/>
      <c r="I142" s="69"/>
    </row>
    <row r="143" spans="1:9">
      <c r="A143" s="46"/>
      <c r="B143" s="47"/>
      <c r="C143" s="52"/>
      <c r="D143" s="69"/>
      <c r="E143" s="46"/>
      <c r="F143" s="46"/>
      <c r="G143" s="46"/>
      <c r="H143" s="46"/>
      <c r="I143" s="69"/>
    </row>
    <row r="144" spans="1:9">
      <c r="A144" s="46"/>
      <c r="B144" s="47"/>
      <c r="C144" s="52"/>
      <c r="D144" s="69"/>
      <c r="E144" s="46"/>
      <c r="F144" s="46"/>
      <c r="G144" s="46"/>
      <c r="H144" s="46"/>
      <c r="I144" s="69"/>
    </row>
    <row r="145" spans="1:9">
      <c r="A145" s="46"/>
      <c r="B145" s="47"/>
      <c r="C145" s="52"/>
      <c r="D145" s="69"/>
      <c r="E145" s="46"/>
      <c r="F145" s="46"/>
      <c r="G145" s="46"/>
      <c r="H145" s="46"/>
      <c r="I145" s="69"/>
    </row>
    <row r="146" spans="1:9">
      <c r="A146" s="46"/>
      <c r="B146" s="47"/>
      <c r="C146" s="52"/>
      <c r="D146" s="69"/>
      <c r="E146" s="46"/>
      <c r="F146" s="46"/>
      <c r="G146" s="46"/>
      <c r="H146" s="46"/>
      <c r="I146" s="69"/>
    </row>
    <row r="147" spans="1:9">
      <c r="A147" s="46"/>
      <c r="B147" s="47"/>
      <c r="C147" s="52"/>
      <c r="D147" s="69"/>
      <c r="E147" s="46"/>
      <c r="F147" s="46"/>
      <c r="G147" s="46"/>
      <c r="H147" s="46"/>
      <c r="I147" s="69"/>
    </row>
    <row r="148" spans="1:9">
      <c r="A148" s="46"/>
      <c r="B148" s="47"/>
      <c r="C148" s="52"/>
      <c r="D148" s="69"/>
      <c r="E148" s="46"/>
      <c r="F148" s="46"/>
      <c r="G148" s="46"/>
      <c r="H148" s="46"/>
      <c r="I148" s="69"/>
    </row>
    <row r="149" spans="1:9">
      <c r="A149" s="46"/>
      <c r="B149" s="47"/>
      <c r="C149" s="52"/>
      <c r="D149" s="69"/>
      <c r="E149" s="46"/>
      <c r="F149" s="46"/>
      <c r="G149" s="46"/>
      <c r="H149" s="46"/>
      <c r="I149" s="69"/>
    </row>
    <row r="150" spans="1:9">
      <c r="A150" s="46"/>
      <c r="B150" s="47"/>
      <c r="C150" s="52"/>
      <c r="D150" s="69"/>
      <c r="E150" s="46"/>
      <c r="F150" s="46"/>
      <c r="G150" s="46"/>
      <c r="H150" s="46"/>
      <c r="I150" s="69"/>
    </row>
    <row r="151" spans="1:9">
      <c r="A151" s="46"/>
      <c r="B151" s="47"/>
      <c r="C151" s="52"/>
      <c r="D151" s="69"/>
      <c r="E151" s="46"/>
      <c r="F151" s="46"/>
      <c r="G151" s="46"/>
      <c r="H151" s="46"/>
      <c r="I151" s="69"/>
    </row>
    <row r="152" spans="1:9">
      <c r="A152" s="46"/>
      <c r="B152" s="47"/>
      <c r="C152" s="52"/>
      <c r="D152" s="69"/>
      <c r="E152" s="46"/>
      <c r="F152" s="46"/>
      <c r="G152" s="46"/>
      <c r="H152" s="46"/>
      <c r="I152" s="69"/>
    </row>
    <row r="153" spans="1:9">
      <c r="A153" s="46"/>
      <c r="B153" s="47"/>
      <c r="C153" s="52"/>
      <c r="D153" s="69"/>
      <c r="E153" s="46"/>
      <c r="F153" s="46"/>
      <c r="G153" s="46"/>
      <c r="H153" s="46"/>
      <c r="I153" s="69"/>
    </row>
    <row r="154" spans="1:9">
      <c r="A154" s="46"/>
      <c r="B154" s="47"/>
      <c r="C154" s="52"/>
      <c r="D154" s="69"/>
      <c r="E154" s="46"/>
      <c r="F154" s="46"/>
      <c r="G154" s="46"/>
      <c r="H154" s="46"/>
      <c r="I154" s="69"/>
    </row>
    <row r="155" spans="1:9">
      <c r="A155" s="46"/>
      <c r="B155" s="47"/>
      <c r="C155" s="52"/>
      <c r="D155" s="69"/>
      <c r="E155" s="46"/>
      <c r="F155" s="46"/>
      <c r="G155" s="46"/>
      <c r="H155" s="46"/>
      <c r="I155" s="69"/>
    </row>
    <row r="156" spans="1:9">
      <c r="A156" s="46"/>
      <c r="B156" s="47"/>
      <c r="C156" s="52"/>
      <c r="D156" s="69"/>
      <c r="E156" s="46"/>
      <c r="F156" s="46"/>
      <c r="G156" s="46"/>
      <c r="H156" s="46"/>
      <c r="I156" s="69"/>
    </row>
    <row r="157" spans="1:9">
      <c r="A157" s="46"/>
      <c r="B157" s="47"/>
      <c r="C157" s="52"/>
      <c r="D157" s="69"/>
      <c r="E157" s="46"/>
      <c r="F157" s="46"/>
      <c r="G157" s="46"/>
      <c r="H157" s="46"/>
      <c r="I157" s="69"/>
    </row>
    <row r="158" spans="1:9">
      <c r="A158" s="46"/>
      <c r="B158" s="47"/>
      <c r="C158" s="52"/>
      <c r="D158" s="69"/>
      <c r="E158" s="46"/>
      <c r="F158" s="46"/>
      <c r="G158" s="46"/>
      <c r="H158" s="46"/>
      <c r="I158" s="69"/>
    </row>
    <row r="159" spans="1:9">
      <c r="A159" s="46"/>
      <c r="B159" s="47"/>
      <c r="C159" s="52"/>
      <c r="D159" s="69"/>
      <c r="E159" s="46"/>
      <c r="F159" s="46"/>
      <c r="G159" s="46"/>
      <c r="H159" s="46"/>
      <c r="I159" s="69"/>
    </row>
    <row r="160" spans="1:9">
      <c r="A160" s="46"/>
      <c r="B160" s="47"/>
      <c r="C160" s="52"/>
      <c r="D160" s="69"/>
      <c r="E160" s="46"/>
      <c r="F160" s="46"/>
      <c r="G160" s="46"/>
      <c r="H160" s="46"/>
      <c r="I160" s="69"/>
    </row>
    <row r="161" spans="1:9">
      <c r="A161" s="46"/>
      <c r="B161" s="47"/>
      <c r="C161" s="52"/>
      <c r="D161" s="69"/>
      <c r="E161" s="46"/>
      <c r="F161" s="46"/>
      <c r="G161" s="46"/>
      <c r="H161" s="46"/>
      <c r="I161" s="69"/>
    </row>
    <row r="162" spans="1:9">
      <c r="A162" s="46"/>
      <c r="B162" s="47"/>
      <c r="C162" s="52"/>
      <c r="D162" s="69"/>
      <c r="E162" s="46"/>
      <c r="F162" s="46"/>
      <c r="G162" s="46"/>
      <c r="H162" s="46"/>
      <c r="I162" s="69"/>
    </row>
    <row r="163" spans="1:9">
      <c r="A163" s="46"/>
      <c r="B163" s="47"/>
      <c r="C163" s="52"/>
      <c r="D163" s="69"/>
      <c r="E163" s="46"/>
      <c r="F163" s="46"/>
      <c r="G163" s="46"/>
      <c r="H163" s="46"/>
      <c r="I163" s="69"/>
    </row>
    <row r="164" spans="1:9">
      <c r="A164" s="46"/>
      <c r="B164" s="47"/>
      <c r="C164" s="52"/>
      <c r="D164" s="69"/>
      <c r="E164" s="46"/>
      <c r="F164" s="46"/>
      <c r="G164" s="46"/>
      <c r="H164" s="46"/>
      <c r="I164" s="69"/>
    </row>
    <row r="165" spans="1:9">
      <c r="A165" s="46"/>
      <c r="B165" s="47"/>
      <c r="C165" s="52"/>
      <c r="D165" s="69"/>
      <c r="E165" s="46"/>
      <c r="F165" s="46"/>
      <c r="G165" s="46"/>
      <c r="H165" s="46"/>
      <c r="I165" s="69"/>
    </row>
    <row r="166" spans="1:9">
      <c r="A166" s="46"/>
      <c r="B166" s="47"/>
      <c r="C166" s="52"/>
      <c r="D166" s="69"/>
      <c r="E166" s="46"/>
      <c r="F166" s="46"/>
      <c r="G166" s="46"/>
      <c r="H166" s="46"/>
      <c r="I166" s="69"/>
    </row>
    <row r="167" spans="1:9">
      <c r="A167" s="46"/>
      <c r="B167" s="47"/>
      <c r="C167" s="52"/>
      <c r="D167" s="69"/>
      <c r="E167" s="46"/>
      <c r="F167" s="46"/>
      <c r="G167" s="46"/>
      <c r="H167" s="46"/>
      <c r="I167" s="69"/>
    </row>
    <row r="168" spans="1:9">
      <c r="A168" s="46"/>
      <c r="B168" s="47"/>
      <c r="C168" s="52"/>
      <c r="D168" s="69"/>
      <c r="E168" s="46"/>
      <c r="F168" s="46"/>
      <c r="G168" s="46"/>
      <c r="H168" s="46"/>
      <c r="I168" s="69"/>
    </row>
    <row r="169" spans="1:9">
      <c r="A169" s="46"/>
      <c r="B169" s="47"/>
      <c r="C169" s="52"/>
      <c r="D169" s="69"/>
      <c r="E169" s="46"/>
      <c r="F169" s="46"/>
      <c r="G169" s="46"/>
      <c r="H169" s="46"/>
      <c r="I169" s="69"/>
    </row>
    <row r="170" spans="1:9">
      <c r="A170" s="46"/>
      <c r="B170" s="47"/>
      <c r="C170" s="52"/>
      <c r="D170" s="69"/>
      <c r="E170" s="46"/>
      <c r="F170" s="46"/>
      <c r="G170" s="46"/>
      <c r="H170" s="46"/>
      <c r="I170" s="69"/>
    </row>
    <row r="171" spans="1:9">
      <c r="A171" s="46"/>
      <c r="B171" s="47"/>
      <c r="C171" s="52"/>
      <c r="D171" s="69"/>
      <c r="E171" s="46"/>
      <c r="F171" s="46"/>
      <c r="G171" s="46"/>
      <c r="H171" s="46"/>
      <c r="I171" s="69"/>
    </row>
    <row r="172" spans="1:9">
      <c r="A172" s="46"/>
      <c r="B172" s="47"/>
      <c r="C172" s="52"/>
      <c r="D172" s="69"/>
      <c r="E172" s="46"/>
      <c r="F172" s="46"/>
      <c r="G172" s="46"/>
      <c r="H172" s="46"/>
      <c r="I172" s="69"/>
    </row>
    <row r="173" spans="1:9">
      <c r="A173" s="46"/>
      <c r="B173" s="47"/>
      <c r="C173" s="52"/>
      <c r="D173" s="69"/>
      <c r="E173" s="46"/>
      <c r="F173" s="46"/>
      <c r="G173" s="46"/>
      <c r="H173" s="46"/>
      <c r="I173" s="69"/>
    </row>
    <row r="174" spans="1:9">
      <c r="A174" s="46"/>
      <c r="B174" s="47"/>
      <c r="C174" s="52"/>
      <c r="D174" s="69"/>
      <c r="E174" s="46"/>
      <c r="F174" s="46"/>
      <c r="G174" s="46"/>
      <c r="H174" s="46"/>
      <c r="I174" s="69"/>
    </row>
    <row r="175" spans="1:9">
      <c r="A175" s="46"/>
      <c r="B175" s="47"/>
      <c r="C175" s="52"/>
      <c r="D175" s="69"/>
      <c r="E175" s="46"/>
      <c r="F175" s="46"/>
      <c r="G175" s="46"/>
      <c r="H175" s="46"/>
      <c r="I175" s="69"/>
    </row>
    <row r="176" spans="1:9">
      <c r="A176" s="46"/>
      <c r="B176" s="47"/>
      <c r="C176" s="52"/>
      <c r="D176" s="69"/>
      <c r="E176" s="46"/>
      <c r="F176" s="46"/>
      <c r="G176" s="46"/>
      <c r="H176" s="46"/>
      <c r="I176" s="69"/>
    </row>
    <row r="177" spans="1:9">
      <c r="A177" s="46"/>
      <c r="B177" s="47"/>
      <c r="C177" s="52"/>
      <c r="D177" s="69"/>
      <c r="E177" s="46"/>
      <c r="F177" s="46"/>
      <c r="G177" s="46"/>
      <c r="H177" s="46"/>
      <c r="I177" s="69"/>
    </row>
    <row r="178" spans="1:9">
      <c r="A178" s="46"/>
      <c r="B178" s="47"/>
      <c r="C178" s="52"/>
      <c r="D178" s="69"/>
      <c r="E178" s="46"/>
      <c r="F178" s="46"/>
      <c r="G178" s="46"/>
      <c r="H178" s="46"/>
      <c r="I178" s="69"/>
    </row>
    <row r="179" spans="1:9">
      <c r="A179" s="46"/>
      <c r="B179" s="47"/>
      <c r="C179" s="52"/>
      <c r="D179" s="69"/>
      <c r="E179" s="46"/>
      <c r="F179" s="46"/>
      <c r="G179" s="46"/>
      <c r="H179" s="46"/>
      <c r="I179" s="69"/>
    </row>
    <row r="180" spans="1:9">
      <c r="A180" s="46"/>
      <c r="B180" s="47"/>
      <c r="C180" s="52"/>
      <c r="D180" s="69"/>
      <c r="E180" s="46"/>
      <c r="F180" s="46"/>
      <c r="G180" s="46"/>
      <c r="H180" s="46"/>
      <c r="I180" s="69"/>
    </row>
    <row r="181" spans="1:9">
      <c r="A181" s="46"/>
      <c r="B181" s="47"/>
      <c r="C181" s="52"/>
      <c r="D181" s="69"/>
      <c r="E181" s="46"/>
      <c r="F181" s="46"/>
      <c r="G181" s="46"/>
      <c r="H181" s="46"/>
      <c r="I181" s="69"/>
    </row>
    <row r="182" spans="1:9">
      <c r="A182" s="46"/>
      <c r="B182" s="47"/>
      <c r="C182" s="52"/>
      <c r="D182" s="69"/>
      <c r="E182" s="46"/>
      <c r="F182" s="46"/>
      <c r="G182" s="46"/>
      <c r="H182" s="46"/>
      <c r="I182" s="69"/>
    </row>
    <row r="183" spans="1:9">
      <c r="A183" s="46"/>
      <c r="B183" s="47"/>
      <c r="C183" s="52"/>
      <c r="D183" s="69"/>
      <c r="E183" s="46"/>
      <c r="F183" s="46"/>
      <c r="G183" s="46"/>
      <c r="H183" s="46"/>
      <c r="I183" s="69"/>
    </row>
    <row r="184" spans="1:9">
      <c r="A184" s="46"/>
      <c r="B184" s="47"/>
      <c r="C184" s="52"/>
      <c r="D184" s="69"/>
      <c r="E184" s="46"/>
      <c r="F184" s="46"/>
      <c r="G184" s="46"/>
      <c r="H184" s="46"/>
      <c r="I184" s="69"/>
    </row>
    <row r="185" spans="1:9">
      <c r="A185" s="46"/>
      <c r="B185" s="47"/>
      <c r="C185" s="52"/>
      <c r="D185" s="69"/>
      <c r="E185" s="46"/>
      <c r="F185" s="46"/>
      <c r="G185" s="46"/>
      <c r="H185" s="46"/>
      <c r="I185" s="69"/>
    </row>
    <row r="186" spans="1:9">
      <c r="A186" s="46"/>
      <c r="B186" s="47"/>
      <c r="C186" s="52"/>
      <c r="D186" s="69"/>
      <c r="E186" s="46"/>
      <c r="F186" s="46"/>
      <c r="G186" s="46"/>
      <c r="H186" s="46"/>
      <c r="I186" s="69"/>
    </row>
    <row r="187" spans="1:9">
      <c r="A187" s="46"/>
      <c r="B187" s="47"/>
      <c r="C187" s="52"/>
      <c r="D187" s="69"/>
      <c r="E187" s="46"/>
      <c r="F187" s="46"/>
      <c r="G187" s="46"/>
      <c r="H187" s="46"/>
      <c r="I187" s="69"/>
    </row>
    <row r="188" spans="1:9">
      <c r="A188" s="46"/>
      <c r="B188" s="47"/>
      <c r="C188" s="52"/>
      <c r="D188" s="69"/>
      <c r="E188" s="46"/>
      <c r="F188" s="46"/>
      <c r="G188" s="46"/>
      <c r="H188" s="46"/>
      <c r="I188" s="69"/>
    </row>
    <row r="189" spans="1:9">
      <c r="A189" s="46"/>
      <c r="B189" s="47"/>
      <c r="C189" s="52"/>
      <c r="D189" s="69"/>
      <c r="E189" s="46"/>
      <c r="F189" s="46"/>
      <c r="G189" s="46"/>
      <c r="H189" s="46"/>
      <c r="I189" s="69"/>
    </row>
    <row r="190" spans="1:9">
      <c r="A190" s="46"/>
      <c r="B190" s="47"/>
      <c r="C190" s="52"/>
      <c r="D190" s="69"/>
      <c r="E190" s="46"/>
      <c r="F190" s="46"/>
      <c r="G190" s="46"/>
      <c r="H190" s="46"/>
      <c r="I190" s="69"/>
    </row>
    <row r="191" spans="1:9">
      <c r="A191" s="46"/>
      <c r="B191" s="47"/>
      <c r="C191" s="52"/>
      <c r="D191" s="69"/>
      <c r="E191" s="46"/>
      <c r="F191" s="46"/>
      <c r="G191" s="46"/>
      <c r="H191" s="46"/>
      <c r="I191" s="69"/>
    </row>
    <row r="192" spans="1:9">
      <c r="A192" s="46"/>
      <c r="B192" s="47"/>
      <c r="C192" s="52"/>
      <c r="D192" s="69"/>
      <c r="E192" s="46"/>
      <c r="F192" s="46"/>
      <c r="G192" s="46"/>
      <c r="H192" s="46"/>
      <c r="I192" s="69"/>
    </row>
    <row r="193" spans="1:9">
      <c r="A193" s="46"/>
      <c r="B193" s="47"/>
      <c r="C193" s="52"/>
      <c r="D193" s="69"/>
      <c r="E193" s="46"/>
      <c r="F193" s="46"/>
      <c r="G193" s="46"/>
      <c r="H193" s="46"/>
      <c r="I193" s="69"/>
    </row>
    <row r="194" spans="1:9">
      <c r="A194" s="46"/>
      <c r="B194" s="47"/>
      <c r="C194" s="52"/>
      <c r="D194" s="69"/>
      <c r="E194" s="46"/>
      <c r="F194" s="46"/>
      <c r="G194" s="46"/>
      <c r="H194" s="46"/>
      <c r="I194" s="69"/>
    </row>
    <row r="195" spans="1:9">
      <c r="A195" s="46"/>
      <c r="B195" s="47"/>
      <c r="C195" s="52"/>
      <c r="D195" s="69"/>
      <c r="E195" s="46"/>
      <c r="F195" s="46"/>
      <c r="G195" s="46"/>
      <c r="H195" s="46"/>
      <c r="I195" s="69"/>
    </row>
    <row r="196" spans="1:9">
      <c r="A196" s="46"/>
      <c r="B196" s="47"/>
      <c r="C196" s="52"/>
      <c r="D196" s="69"/>
      <c r="E196" s="46"/>
      <c r="F196" s="46"/>
      <c r="G196" s="46"/>
      <c r="H196" s="46"/>
      <c r="I196" s="69"/>
    </row>
    <row r="197" spans="1:9">
      <c r="A197" s="46"/>
      <c r="B197" s="47"/>
      <c r="C197" s="52"/>
      <c r="D197" s="69"/>
      <c r="E197" s="46"/>
      <c r="F197" s="46"/>
      <c r="G197" s="46"/>
      <c r="H197" s="46"/>
      <c r="I197" s="69"/>
    </row>
    <row r="198" spans="1:9">
      <c r="A198" s="46"/>
      <c r="B198" s="47"/>
      <c r="C198" s="52"/>
      <c r="D198" s="69"/>
      <c r="E198" s="46"/>
      <c r="F198" s="46"/>
      <c r="G198" s="46"/>
      <c r="H198" s="46"/>
      <c r="I198" s="69"/>
    </row>
    <row r="199" spans="1:9">
      <c r="A199" s="46"/>
      <c r="B199" s="47"/>
      <c r="C199" s="52"/>
      <c r="D199" s="69"/>
      <c r="E199" s="46"/>
      <c r="F199" s="46"/>
      <c r="G199" s="46"/>
      <c r="H199" s="46"/>
      <c r="I199" s="69"/>
    </row>
    <row r="200" spans="1:9">
      <c r="A200" s="46"/>
      <c r="B200" s="47"/>
      <c r="C200" s="52"/>
      <c r="D200" s="69"/>
      <c r="E200" s="46"/>
      <c r="F200" s="46"/>
      <c r="G200" s="46"/>
      <c r="H200" s="46"/>
      <c r="I200" s="69"/>
    </row>
    <row r="201" spans="1:9">
      <c r="A201" s="46"/>
      <c r="B201" s="47"/>
      <c r="C201" s="52"/>
      <c r="D201" s="69"/>
      <c r="E201" s="46"/>
      <c r="F201" s="46"/>
      <c r="G201" s="46"/>
      <c r="H201" s="46"/>
      <c r="I201" s="69"/>
    </row>
    <row r="202" spans="1:9">
      <c r="A202" s="46"/>
      <c r="B202" s="47"/>
      <c r="C202" s="52"/>
      <c r="D202" s="69"/>
      <c r="E202" s="46"/>
      <c r="F202" s="46"/>
      <c r="G202" s="46"/>
      <c r="H202" s="46"/>
      <c r="I202" s="69"/>
    </row>
    <row r="203" spans="1:9">
      <c r="A203" s="46"/>
      <c r="B203" s="47"/>
      <c r="C203" s="52"/>
      <c r="D203" s="69"/>
      <c r="E203" s="46"/>
      <c r="F203" s="46"/>
      <c r="G203" s="46"/>
      <c r="H203" s="46"/>
      <c r="I203" s="69"/>
    </row>
    <row r="204" spans="1:9">
      <c r="A204" s="46"/>
      <c r="B204" s="47"/>
      <c r="C204" s="52"/>
      <c r="D204" s="69"/>
      <c r="E204" s="46"/>
      <c r="F204" s="46"/>
      <c r="G204" s="46"/>
      <c r="H204" s="46"/>
      <c r="I204" s="69"/>
    </row>
    <row r="205" spans="1:9">
      <c r="A205" s="46"/>
      <c r="B205" s="47"/>
      <c r="C205" s="52"/>
      <c r="D205" s="69"/>
      <c r="E205" s="46"/>
      <c r="F205" s="46"/>
      <c r="G205" s="46"/>
      <c r="H205" s="46"/>
      <c r="I205" s="69"/>
    </row>
    <row r="206" spans="1:9">
      <c r="A206" s="46"/>
      <c r="B206" s="47"/>
      <c r="C206" s="52"/>
      <c r="D206" s="69"/>
      <c r="E206" s="46"/>
      <c r="F206" s="46"/>
      <c r="G206" s="46"/>
      <c r="H206" s="46"/>
      <c r="I206" s="69"/>
    </row>
    <row r="207" spans="1:9">
      <c r="A207" s="46"/>
      <c r="B207" s="47"/>
      <c r="C207" s="52"/>
      <c r="D207" s="69"/>
      <c r="E207" s="46"/>
      <c r="F207" s="46"/>
      <c r="G207" s="46"/>
      <c r="H207" s="46"/>
      <c r="I207" s="69"/>
    </row>
    <row r="208" spans="1:9">
      <c r="A208" s="46"/>
      <c r="B208" s="47"/>
      <c r="C208" s="52"/>
      <c r="D208" s="69"/>
      <c r="E208" s="46"/>
      <c r="F208" s="46"/>
      <c r="G208" s="46"/>
      <c r="H208" s="46"/>
      <c r="I208" s="69"/>
    </row>
    <row r="209" spans="1:9">
      <c r="A209" s="46"/>
      <c r="B209" s="47"/>
      <c r="C209" s="52"/>
      <c r="D209" s="69"/>
      <c r="E209" s="46"/>
      <c r="F209" s="46"/>
      <c r="G209" s="46"/>
      <c r="H209" s="46"/>
      <c r="I209" s="69"/>
    </row>
    <row r="210" spans="1:9">
      <c r="A210" s="46"/>
      <c r="B210" s="47"/>
      <c r="C210" s="52"/>
      <c r="D210" s="69"/>
      <c r="E210" s="46"/>
      <c r="F210" s="46"/>
      <c r="G210" s="46"/>
      <c r="H210" s="46"/>
      <c r="I210" s="69"/>
    </row>
    <row r="211" spans="1:9">
      <c r="A211" s="46"/>
      <c r="B211" s="47"/>
      <c r="C211" s="52"/>
      <c r="D211" s="69"/>
      <c r="E211" s="46"/>
      <c r="F211" s="46"/>
      <c r="G211" s="46"/>
      <c r="H211" s="46"/>
      <c r="I211" s="69"/>
    </row>
    <row r="212" spans="1:9">
      <c r="A212" s="46"/>
      <c r="B212" s="47"/>
      <c r="C212" s="52"/>
      <c r="D212" s="69"/>
      <c r="E212" s="46"/>
      <c r="F212" s="46"/>
      <c r="G212" s="46"/>
      <c r="H212" s="46"/>
      <c r="I212" s="69"/>
    </row>
    <row r="213" spans="1:9">
      <c r="A213" s="46"/>
      <c r="B213" s="47"/>
      <c r="C213" s="52"/>
      <c r="D213" s="69"/>
      <c r="E213" s="46"/>
      <c r="F213" s="46"/>
      <c r="G213" s="46"/>
      <c r="H213" s="46"/>
      <c r="I213" s="69"/>
    </row>
    <row r="214" spans="1:9">
      <c r="A214" s="46"/>
      <c r="B214" s="47"/>
      <c r="C214" s="52"/>
      <c r="D214" s="69"/>
      <c r="E214" s="46"/>
      <c r="F214" s="46"/>
      <c r="G214" s="46"/>
      <c r="H214" s="46"/>
      <c r="I214" s="69"/>
    </row>
    <row r="215" spans="1:9">
      <c r="A215" s="46"/>
      <c r="B215" s="47"/>
      <c r="C215" s="52"/>
      <c r="D215" s="69"/>
      <c r="E215" s="46"/>
      <c r="F215" s="46"/>
      <c r="G215" s="46"/>
      <c r="H215" s="46"/>
      <c r="I215" s="69"/>
    </row>
    <row r="216" spans="1:9">
      <c r="A216" s="46"/>
      <c r="B216" s="47"/>
      <c r="C216" s="52"/>
      <c r="D216" s="69"/>
      <c r="E216" s="46"/>
      <c r="F216" s="46"/>
      <c r="G216" s="46"/>
      <c r="H216" s="46"/>
      <c r="I216" s="69"/>
    </row>
    <row r="217" spans="1:9">
      <c r="A217" s="46"/>
      <c r="B217" s="47"/>
      <c r="C217" s="52"/>
      <c r="D217" s="69"/>
      <c r="E217" s="46"/>
      <c r="F217" s="46"/>
      <c r="G217" s="46"/>
      <c r="H217" s="46"/>
      <c r="I217" s="69"/>
    </row>
    <row r="218" spans="1:9">
      <c r="A218" s="46"/>
      <c r="B218" s="47"/>
      <c r="C218" s="52"/>
      <c r="D218" s="69"/>
      <c r="E218" s="46"/>
      <c r="F218" s="46"/>
      <c r="G218" s="46"/>
      <c r="H218" s="46"/>
      <c r="I218" s="69"/>
    </row>
    <row r="219" spans="1:9">
      <c r="A219" s="46"/>
      <c r="B219" s="47"/>
      <c r="C219" s="52"/>
      <c r="D219" s="69"/>
      <c r="E219" s="46"/>
      <c r="F219" s="46"/>
      <c r="G219" s="46"/>
      <c r="H219" s="46"/>
      <c r="I219" s="69"/>
    </row>
    <row r="220" spans="1:9">
      <c r="A220" s="46"/>
      <c r="B220" s="47"/>
      <c r="C220" s="52"/>
      <c r="D220" s="69"/>
      <c r="E220" s="46"/>
      <c r="F220" s="46"/>
      <c r="G220" s="46"/>
      <c r="H220" s="46"/>
      <c r="I220" s="69"/>
    </row>
    <row r="221" spans="1:9">
      <c r="A221" s="46"/>
      <c r="B221" s="47"/>
      <c r="C221" s="52"/>
      <c r="D221" s="69"/>
      <c r="E221" s="46"/>
      <c r="F221" s="46"/>
      <c r="G221" s="46"/>
      <c r="H221" s="46"/>
      <c r="I221" s="69"/>
    </row>
    <row r="222" spans="1:9">
      <c r="A222" s="46"/>
      <c r="B222" s="47"/>
      <c r="C222" s="52"/>
      <c r="D222" s="69"/>
      <c r="E222" s="46"/>
      <c r="F222" s="46"/>
      <c r="G222" s="46"/>
      <c r="H222" s="46"/>
      <c r="I222" s="69"/>
    </row>
  </sheetData>
  <mergeCells count="19">
    <mergeCell ref="K7:R7"/>
    <mergeCell ref="K8:R8"/>
    <mergeCell ref="B1:I1"/>
    <mergeCell ref="B2:I2"/>
    <mergeCell ref="B3:I3"/>
    <mergeCell ref="B4:I4"/>
    <mergeCell ref="B5:I5"/>
    <mergeCell ref="B6:I6"/>
    <mergeCell ref="A7:A8"/>
    <mergeCell ref="B7:B8"/>
    <mergeCell ref="C7:C8"/>
    <mergeCell ref="D7:H7"/>
    <mergeCell ref="I7:I8"/>
    <mergeCell ref="D42:I42"/>
    <mergeCell ref="D36:I36"/>
    <mergeCell ref="D12:I12"/>
    <mergeCell ref="D18:I18"/>
    <mergeCell ref="D24:I24"/>
    <mergeCell ref="D30:I30"/>
  </mergeCells>
  <pageMargins left="0.45" right="0.45" top="0.75" bottom="0.5" header="0.3" footer="0.3"/>
  <pageSetup scale="85" orientation="portrait" r:id="rId1"/>
  <headerFooter>
    <oddFooter>&amp;CPage no  &amp;P  MB-  1002</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9"/>
  <sheetViews>
    <sheetView tabSelected="1" view="pageBreakPreview" zoomScaleSheetLayoutView="100" zoomScalePageLayoutView="90" workbookViewId="0">
      <selection activeCell="B40" sqref="B40"/>
    </sheetView>
  </sheetViews>
  <sheetFormatPr defaultColWidth="8.85546875" defaultRowHeight="14.25"/>
  <cols>
    <col min="1" max="1" width="8.28515625" style="39" customWidth="1"/>
    <col min="2" max="2" width="22.28515625" style="39" customWidth="1"/>
    <col min="3" max="3" width="11.7109375" style="97" customWidth="1"/>
    <col min="4" max="4" width="12.42578125" style="39" customWidth="1"/>
    <col min="5" max="5" width="7" style="39" customWidth="1"/>
    <col min="6" max="6" width="18.42578125" style="39" customWidth="1"/>
    <col min="7" max="7" width="9" style="39" customWidth="1"/>
    <col min="8" max="8" width="10.140625" style="39" customWidth="1"/>
    <col min="9" max="9" width="9.140625" style="39" customWidth="1"/>
    <col min="10" max="10" width="11.42578125" style="39" bestFit="1" customWidth="1"/>
    <col min="11" max="11" width="17.28515625" style="39" customWidth="1"/>
    <col min="12" max="12" width="8.5703125" style="39" customWidth="1"/>
    <col min="13" max="13" width="10.5703125" style="39" hidden="1" customWidth="1"/>
    <col min="14" max="14" width="8.85546875" style="39"/>
    <col min="15" max="15" width="10.28515625" style="39" bestFit="1" customWidth="1"/>
    <col min="16" max="16384" width="8.85546875" style="39"/>
  </cols>
  <sheetData>
    <row r="1" spans="1:12" ht="42.75" customHeight="1">
      <c r="A1" s="92" t="s">
        <v>19</v>
      </c>
      <c r="B1" s="368" t="s">
        <v>85</v>
      </c>
      <c r="C1" s="368"/>
      <c r="D1" s="368"/>
      <c r="E1" s="368"/>
      <c r="F1" s="93" t="s">
        <v>20</v>
      </c>
      <c r="G1" s="369" t="s">
        <v>89</v>
      </c>
      <c r="H1" s="369"/>
      <c r="I1" s="369"/>
      <c r="J1" s="369"/>
      <c r="K1" s="369"/>
      <c r="L1" s="369"/>
    </row>
    <row r="2" spans="1:12" ht="24.95" customHeight="1">
      <c r="A2" s="94" t="s">
        <v>98</v>
      </c>
      <c r="B2" s="370" t="s">
        <v>88</v>
      </c>
      <c r="C2" s="370"/>
      <c r="D2" s="370"/>
      <c r="E2" s="370"/>
      <c r="F2" s="95" t="s">
        <v>21</v>
      </c>
      <c r="G2" s="369" t="s">
        <v>91</v>
      </c>
      <c r="H2" s="369"/>
      <c r="I2" s="369"/>
      <c r="J2" s="369"/>
      <c r="K2" s="369"/>
      <c r="L2" s="369"/>
    </row>
    <row r="3" spans="1:12" ht="24.95" customHeight="1">
      <c r="A3" s="94" t="s">
        <v>99</v>
      </c>
      <c r="B3" s="370" t="s">
        <v>90</v>
      </c>
      <c r="C3" s="370"/>
      <c r="D3" s="370"/>
      <c r="E3" s="370"/>
      <c r="F3" s="96" t="s">
        <v>22</v>
      </c>
      <c r="G3" s="371" t="s">
        <v>117</v>
      </c>
      <c r="H3" s="370"/>
      <c r="I3" s="370"/>
      <c r="J3" s="370"/>
      <c r="K3" s="370"/>
      <c r="L3" s="370"/>
    </row>
    <row r="4" spans="1:12" ht="19.899999999999999" customHeight="1">
      <c r="A4" s="358" t="s">
        <v>97</v>
      </c>
      <c r="B4" s="358"/>
      <c r="C4" s="358"/>
      <c r="D4" s="358"/>
      <c r="E4" s="358"/>
      <c r="F4" s="358"/>
      <c r="G4" s="358"/>
      <c r="H4" s="358"/>
      <c r="I4" s="358"/>
      <c r="J4" s="358"/>
      <c r="K4" s="358"/>
      <c r="L4" s="358"/>
    </row>
    <row r="5" spans="1:12" ht="24.95" customHeight="1">
      <c r="A5" s="359" t="s">
        <v>15</v>
      </c>
      <c r="B5" s="361" t="s">
        <v>23</v>
      </c>
      <c r="C5" s="376" t="s">
        <v>29</v>
      </c>
      <c r="D5" s="363" t="s">
        <v>24</v>
      </c>
      <c r="E5" s="364" t="s">
        <v>25</v>
      </c>
      <c r="F5" s="363" t="s">
        <v>26</v>
      </c>
      <c r="G5" s="364" t="s">
        <v>27</v>
      </c>
      <c r="H5" s="364"/>
      <c r="I5" s="364"/>
      <c r="J5" s="364" t="s">
        <v>28</v>
      </c>
      <c r="K5" s="364"/>
      <c r="L5" s="366" t="s">
        <v>9</v>
      </c>
    </row>
    <row r="6" spans="1:12" ht="24.95" customHeight="1">
      <c r="A6" s="359"/>
      <c r="B6" s="361"/>
      <c r="C6" s="377"/>
      <c r="D6" s="363"/>
      <c r="E6" s="364"/>
      <c r="F6" s="363"/>
      <c r="G6" s="364" t="s">
        <v>30</v>
      </c>
      <c r="H6" s="372" t="s">
        <v>31</v>
      </c>
      <c r="I6" s="138" t="s">
        <v>32</v>
      </c>
      <c r="J6" s="374" t="s">
        <v>31</v>
      </c>
      <c r="K6" s="138" t="s">
        <v>33</v>
      </c>
      <c r="L6" s="366"/>
    </row>
    <row r="7" spans="1:12" ht="24.95" customHeight="1">
      <c r="A7" s="360"/>
      <c r="B7" s="362"/>
      <c r="C7" s="377"/>
      <c r="D7" s="178" t="s">
        <v>34</v>
      </c>
      <c r="E7" s="365"/>
      <c r="F7" s="179" t="s">
        <v>100</v>
      </c>
      <c r="G7" s="365"/>
      <c r="H7" s="373"/>
      <c r="I7" s="179" t="s">
        <v>34</v>
      </c>
      <c r="J7" s="375"/>
      <c r="K7" s="179" t="s">
        <v>34</v>
      </c>
      <c r="L7" s="367"/>
    </row>
    <row r="8" spans="1:12" s="64" customFormat="1" ht="22.5" customHeight="1">
      <c r="A8" s="191">
        <v>5.5</v>
      </c>
      <c r="B8" s="180" t="s">
        <v>138</v>
      </c>
      <c r="C8" s="181"/>
      <c r="D8" s="180"/>
      <c r="E8" s="180"/>
      <c r="F8" s="180"/>
      <c r="G8" s="180"/>
      <c r="H8" s="180"/>
      <c r="I8" s="180"/>
      <c r="J8" s="180"/>
      <c r="K8" s="180"/>
      <c r="L8" s="192"/>
    </row>
    <row r="9" spans="1:12" s="64" customFormat="1" ht="21" customHeight="1">
      <c r="A9" s="191"/>
      <c r="B9" s="287" t="s">
        <v>213</v>
      </c>
      <c r="C9" s="183">
        <f>+'SA Gen 1002'!H11</f>
        <v>122.83375999999997</v>
      </c>
      <c r="D9" s="181">
        <v>7867</v>
      </c>
      <c r="E9" s="180" t="s">
        <v>16</v>
      </c>
      <c r="F9" s="181">
        <f>+C9*D9</f>
        <v>966333.1899199998</v>
      </c>
      <c r="G9" s="180"/>
      <c r="H9" s="180"/>
      <c r="I9" s="180"/>
      <c r="J9" s="183">
        <f>C9-H9</f>
        <v>122.83375999999997</v>
      </c>
      <c r="K9" s="181">
        <f>F9-I9</f>
        <v>966333.1899199998</v>
      </c>
      <c r="L9" s="193"/>
    </row>
    <row r="10" spans="1:12" s="64" customFormat="1" ht="25.9" customHeight="1">
      <c r="A10" s="191" t="s">
        <v>125</v>
      </c>
      <c r="B10" s="180" t="s">
        <v>214</v>
      </c>
      <c r="C10" s="181"/>
      <c r="D10" s="180"/>
      <c r="E10" s="180"/>
      <c r="F10" s="180"/>
      <c r="G10" s="180"/>
      <c r="H10" s="180"/>
      <c r="I10" s="180"/>
      <c r="J10" s="180"/>
      <c r="K10" s="180"/>
      <c r="L10" s="192"/>
    </row>
    <row r="11" spans="1:12" s="64" customFormat="1" ht="19.149999999999999" customHeight="1">
      <c r="A11" s="191"/>
      <c r="B11" s="182" t="s">
        <v>213</v>
      </c>
      <c r="C11" s="183">
        <f>+'SA Gen 1002'!H17</f>
        <v>17.37251999999998</v>
      </c>
      <c r="D11" s="181">
        <v>7956</v>
      </c>
      <c r="E11" s="180" t="s">
        <v>16</v>
      </c>
      <c r="F11" s="181">
        <f>C11*D11</f>
        <v>138215.76911999984</v>
      </c>
      <c r="G11" s="180"/>
      <c r="H11" s="180"/>
      <c r="I11" s="180"/>
      <c r="J11" s="183">
        <f>C11-H11</f>
        <v>17.37251999999998</v>
      </c>
      <c r="K11" s="181">
        <f>F11-I11</f>
        <v>138215.76911999984</v>
      </c>
      <c r="L11" s="193"/>
    </row>
    <row r="12" spans="1:12" s="64" customFormat="1" ht="22.5" customHeight="1">
      <c r="A12" s="191"/>
      <c r="B12" s="182" t="s">
        <v>215</v>
      </c>
      <c r="C12" s="183"/>
      <c r="D12" s="181"/>
      <c r="E12" s="180"/>
      <c r="F12" s="181"/>
      <c r="G12" s="180"/>
      <c r="H12" s="180"/>
      <c r="I12" s="180"/>
      <c r="J12" s="183"/>
      <c r="K12" s="181"/>
      <c r="L12" s="192"/>
    </row>
    <row r="13" spans="1:12" s="64" customFormat="1" ht="22.5" customHeight="1">
      <c r="A13" s="191" t="s">
        <v>86</v>
      </c>
      <c r="B13" s="180" t="s">
        <v>216</v>
      </c>
      <c r="C13" s="183"/>
      <c r="D13" s="181"/>
      <c r="E13" s="180"/>
      <c r="F13" s="181"/>
      <c r="G13" s="180"/>
      <c r="H13" s="180"/>
      <c r="I13" s="180"/>
      <c r="J13" s="183"/>
      <c r="K13" s="181"/>
      <c r="L13" s="192"/>
    </row>
    <row r="14" spans="1:12" s="64" customFormat="1" ht="22.5" customHeight="1">
      <c r="A14" s="191"/>
      <c r="B14" s="182" t="s">
        <v>213</v>
      </c>
      <c r="C14" s="183">
        <f>+'SA Gen 1002'!H23</f>
        <v>169.125</v>
      </c>
      <c r="D14" s="181">
        <v>890</v>
      </c>
      <c r="E14" s="180" t="s">
        <v>124</v>
      </c>
      <c r="F14" s="181">
        <f>C14*D14</f>
        <v>150521.25</v>
      </c>
      <c r="G14" s="180"/>
      <c r="H14" s="180"/>
      <c r="I14" s="180"/>
      <c r="J14" s="183">
        <f>C14-H14</f>
        <v>169.125</v>
      </c>
      <c r="K14" s="181">
        <f>F14-I14</f>
        <v>150521.25</v>
      </c>
      <c r="L14" s="192"/>
    </row>
    <row r="15" spans="1:12" s="64" customFormat="1" ht="22.5" customHeight="1">
      <c r="A15" s="191"/>
      <c r="B15" s="182" t="s">
        <v>215</v>
      </c>
      <c r="C15" s="183"/>
      <c r="D15" s="181"/>
      <c r="E15" s="180"/>
      <c r="F15" s="181"/>
      <c r="G15" s="180"/>
      <c r="H15" s="180"/>
      <c r="I15" s="180"/>
      <c r="J15" s="183"/>
      <c r="K15" s="181"/>
      <c r="L15" s="192"/>
    </row>
    <row r="16" spans="1:12" s="64" customFormat="1" ht="22.5" customHeight="1">
      <c r="A16" s="191" t="s">
        <v>87</v>
      </c>
      <c r="B16" s="180" t="s">
        <v>217</v>
      </c>
      <c r="C16" s="183"/>
      <c r="D16" s="181"/>
      <c r="E16" s="180"/>
      <c r="F16" s="181"/>
      <c r="G16" s="180"/>
      <c r="H16" s="180"/>
      <c r="I16" s="180"/>
      <c r="J16" s="183"/>
      <c r="K16" s="181"/>
      <c r="L16" s="192"/>
    </row>
    <row r="17" spans="1:13" s="64" customFormat="1" ht="22.5" customHeight="1">
      <c r="A17" s="191"/>
      <c r="B17" s="182" t="s">
        <v>213</v>
      </c>
      <c r="C17" s="183">
        <f>+'SA Gen 1002'!H29</f>
        <v>447.03374999999994</v>
      </c>
      <c r="D17" s="181">
        <v>7956</v>
      </c>
      <c r="E17" s="180" t="s">
        <v>16</v>
      </c>
      <c r="F17" s="181">
        <f>C17*D17</f>
        <v>3556600.5149999997</v>
      </c>
      <c r="G17" s="180"/>
      <c r="H17" s="180"/>
      <c r="I17" s="180"/>
      <c r="J17" s="183">
        <f>C17-H17</f>
        <v>447.03374999999994</v>
      </c>
      <c r="K17" s="181">
        <f>F17-I17</f>
        <v>3556600.5149999997</v>
      </c>
      <c r="L17" s="192"/>
    </row>
    <row r="18" spans="1:13" s="64" customFormat="1" ht="15" customHeight="1">
      <c r="A18" s="191"/>
      <c r="B18" s="182" t="s">
        <v>215</v>
      </c>
      <c r="C18" s="183"/>
      <c r="D18" s="181"/>
      <c r="E18" s="180"/>
      <c r="F18" s="181"/>
      <c r="G18" s="180"/>
      <c r="H18" s="180"/>
      <c r="I18" s="180"/>
      <c r="J18" s="183"/>
      <c r="K18" s="181"/>
      <c r="L18" s="192"/>
    </row>
    <row r="19" spans="1:13" s="64" customFormat="1" ht="22.5" customHeight="1">
      <c r="A19" s="191" t="s">
        <v>187</v>
      </c>
      <c r="B19" s="180" t="s">
        <v>188</v>
      </c>
      <c r="C19" s="183"/>
      <c r="D19" s="181"/>
      <c r="E19" s="180"/>
      <c r="F19" s="181"/>
      <c r="G19" s="180"/>
      <c r="H19" s="180"/>
      <c r="I19" s="180"/>
      <c r="J19" s="183"/>
      <c r="K19" s="181"/>
      <c r="L19" s="192"/>
    </row>
    <row r="20" spans="1:13" s="64" customFormat="1" ht="22.5" customHeight="1">
      <c r="A20" s="191"/>
      <c r="B20" s="182" t="s">
        <v>213</v>
      </c>
      <c r="C20" s="183">
        <f>+'SA Gen 1002'!H35</f>
        <v>27.992515000000001</v>
      </c>
      <c r="D20" s="181">
        <v>73227</v>
      </c>
      <c r="E20" s="180" t="s">
        <v>190</v>
      </c>
      <c r="F20" s="181">
        <f>C20*D20</f>
        <v>2049807.8959050002</v>
      </c>
      <c r="G20" s="180"/>
      <c r="H20" s="180"/>
      <c r="I20" s="180"/>
      <c r="J20" s="183">
        <f>C20-H20</f>
        <v>27.992515000000001</v>
      </c>
      <c r="K20" s="181">
        <f>F20-I20</f>
        <v>2049807.8959050002</v>
      </c>
      <c r="L20" s="192"/>
    </row>
    <row r="21" spans="1:13" s="64" customFormat="1" ht="22.5" customHeight="1">
      <c r="A21" s="191" t="s">
        <v>191</v>
      </c>
      <c r="B21" s="180" t="s">
        <v>192</v>
      </c>
      <c r="C21" s="183"/>
      <c r="D21" s="181"/>
      <c r="E21" s="180"/>
      <c r="F21" s="181"/>
      <c r="G21" s="180"/>
      <c r="H21" s="180"/>
      <c r="I21" s="180"/>
      <c r="J21" s="183"/>
      <c r="K21" s="181"/>
      <c r="L21" s="192"/>
    </row>
    <row r="22" spans="1:13" s="64" customFormat="1" ht="22.5" customHeight="1">
      <c r="A22" s="191"/>
      <c r="B22" s="182" t="s">
        <v>213</v>
      </c>
      <c r="C22" s="183">
        <f>+'SA Gen 1002'!H41</f>
        <v>8.8512560000000011</v>
      </c>
      <c r="D22" s="181">
        <v>73063</v>
      </c>
      <c r="E22" s="180" t="s">
        <v>190</v>
      </c>
      <c r="F22" s="181">
        <f>C22*D22</f>
        <v>646699.31712800008</v>
      </c>
      <c r="G22" s="180"/>
      <c r="H22" s="180"/>
      <c r="I22" s="180"/>
      <c r="J22" s="183">
        <f>C22-H22</f>
        <v>8.8512560000000011</v>
      </c>
      <c r="K22" s="181">
        <f>F22-I22</f>
        <v>646699.31712800008</v>
      </c>
      <c r="L22" s="192"/>
    </row>
    <row r="23" spans="1:13" s="64" customFormat="1" ht="22.5" customHeight="1">
      <c r="A23" s="191"/>
      <c r="B23" s="182"/>
      <c r="C23" s="183"/>
      <c r="D23" s="181"/>
      <c r="E23" s="180"/>
      <c r="F23" s="181"/>
      <c r="G23" s="180"/>
      <c r="H23" s="180"/>
      <c r="I23" s="180"/>
      <c r="J23" s="183"/>
      <c r="K23" s="181"/>
      <c r="L23" s="192"/>
    </row>
    <row r="24" spans="1:13" ht="22.5" customHeight="1">
      <c r="A24" s="44"/>
      <c r="B24" s="185" t="s">
        <v>35</v>
      </c>
      <c r="C24" s="186"/>
      <c r="D24" s="187"/>
      <c r="E24" s="184"/>
      <c r="F24" s="188">
        <f>F20+F17+F14+F11+F9+F22</f>
        <v>7508177.9370729998</v>
      </c>
      <c r="G24" s="188"/>
      <c r="H24" s="188"/>
      <c r="I24" s="188"/>
      <c r="J24" s="188"/>
      <c r="K24" s="188">
        <f>K20+K17+K14+K11+K9+K22</f>
        <v>7508177.9370729998</v>
      </c>
      <c r="L24" s="194"/>
    </row>
    <row r="25" spans="1:13" ht="18" customHeight="1">
      <c r="A25" s="44"/>
      <c r="B25" s="189" t="s">
        <v>37</v>
      </c>
      <c r="C25" s="189"/>
      <c r="D25" s="189"/>
      <c r="E25" s="184"/>
      <c r="F25" s="188">
        <v>0</v>
      </c>
      <c r="G25" s="190"/>
      <c r="H25" s="190"/>
      <c r="I25" s="190"/>
      <c r="J25" s="190"/>
      <c r="K25" s="188">
        <v>0</v>
      </c>
      <c r="L25" s="194"/>
    </row>
    <row r="26" spans="1:13" ht="19.899999999999999" customHeight="1">
      <c r="A26" s="44"/>
      <c r="B26" s="189" t="s">
        <v>77</v>
      </c>
      <c r="C26" s="189"/>
      <c r="D26" s="189"/>
      <c r="E26" s="184"/>
      <c r="F26" s="188">
        <f>+'Secured Advance-1042'!K19</f>
        <v>0</v>
      </c>
      <c r="G26" s="190"/>
      <c r="H26" s="190"/>
      <c r="I26" s="188"/>
      <c r="J26" s="190"/>
      <c r="K26" s="188">
        <f>F26-I26</f>
        <v>0</v>
      </c>
      <c r="L26" s="194"/>
    </row>
    <row r="27" spans="1:13" ht="16.899999999999999" customHeight="1">
      <c r="A27" s="195"/>
      <c r="B27" s="196" t="s">
        <v>36</v>
      </c>
      <c r="C27" s="197"/>
      <c r="D27" s="198"/>
      <c r="E27" s="199"/>
      <c r="F27" s="200">
        <f>+F24-F25+F26</f>
        <v>7508177.9370729998</v>
      </c>
      <c r="G27" s="200"/>
      <c r="H27" s="200"/>
      <c r="I27" s="200"/>
      <c r="J27" s="200"/>
      <c r="K27" s="200">
        <f>+K24-K25+K26</f>
        <v>7508177.9370729998</v>
      </c>
      <c r="L27" s="201"/>
    </row>
    <row r="28" spans="1:13" s="98" customFormat="1" ht="24.95" customHeight="1">
      <c r="A28" s="190"/>
      <c r="B28" s="190"/>
      <c r="C28" s="190"/>
      <c r="D28" s="190"/>
      <c r="E28" s="190"/>
      <c r="F28" s="190"/>
      <c r="G28" s="190"/>
      <c r="H28" s="190"/>
      <c r="I28" s="190"/>
      <c r="J28" s="190"/>
      <c r="K28" s="190"/>
      <c r="L28" s="190"/>
      <c r="M28" s="99"/>
    </row>
    <row r="29" spans="1:13" s="98" customFormat="1" ht="24.95" customHeight="1">
      <c r="A29" s="190"/>
      <c r="B29" s="378" t="s">
        <v>69</v>
      </c>
      <c r="C29" s="379"/>
      <c r="D29" s="379"/>
      <c r="E29" s="379"/>
      <c r="F29" s="380"/>
      <c r="G29" s="190"/>
      <c r="H29" s="190"/>
      <c r="I29" s="190"/>
      <c r="J29" s="190"/>
      <c r="K29" s="190"/>
      <c r="L29" s="190"/>
      <c r="M29" s="99"/>
    </row>
    <row r="30" spans="1:13" s="98" customFormat="1" ht="24.95" customHeight="1">
      <c r="A30" s="190"/>
      <c r="B30" s="190"/>
      <c r="C30" s="190"/>
      <c r="D30" s="190"/>
      <c r="E30" s="190"/>
      <c r="F30" s="190"/>
      <c r="G30" s="190"/>
      <c r="H30" s="190"/>
      <c r="I30" s="190"/>
      <c r="J30" s="190"/>
      <c r="K30" s="190"/>
      <c r="L30" s="190"/>
      <c r="M30" s="99"/>
    </row>
    <row r="31" spans="1:13" s="98" customFormat="1" ht="24.95" customHeight="1">
      <c r="A31" s="190"/>
      <c r="B31" s="184" t="s">
        <v>76</v>
      </c>
      <c r="C31" s="190"/>
      <c r="D31" s="190"/>
      <c r="E31" s="190"/>
      <c r="F31" s="223" t="s">
        <v>107</v>
      </c>
      <c r="G31" s="190"/>
      <c r="H31" s="190"/>
      <c r="I31" s="190"/>
      <c r="J31" s="190"/>
      <c r="K31" s="190"/>
      <c r="L31" s="190"/>
      <c r="M31" s="99"/>
    </row>
    <row r="32" spans="1:13" s="98" customFormat="1" ht="24.95" customHeight="1">
      <c r="A32" s="190"/>
      <c r="B32" s="184" t="s">
        <v>70</v>
      </c>
      <c r="C32" s="190"/>
      <c r="D32" s="190"/>
      <c r="E32" s="190"/>
      <c r="F32" s="223" t="str">
        <f>F31</f>
        <v>Nil</v>
      </c>
      <c r="G32" s="190"/>
      <c r="H32" s="190"/>
      <c r="I32" s="190"/>
      <c r="J32" s="190"/>
      <c r="K32" s="190"/>
      <c r="L32" s="190"/>
      <c r="M32" s="99"/>
    </row>
    <row r="33" spans="1:13" s="98" customFormat="1" ht="24.95" customHeight="1">
      <c r="A33" s="190"/>
      <c r="B33" s="184" t="s">
        <v>71</v>
      </c>
      <c r="C33" s="190"/>
      <c r="D33" s="190"/>
      <c r="E33" s="190"/>
      <c r="F33" s="222"/>
      <c r="G33" s="190"/>
      <c r="H33" s="190"/>
      <c r="I33" s="190"/>
      <c r="J33" s="190"/>
      <c r="K33" s="190"/>
      <c r="L33" s="190"/>
      <c r="M33" s="99"/>
    </row>
    <row r="34" spans="1:13" s="98" customFormat="1" ht="24.95" customHeight="1">
      <c r="A34" s="190"/>
      <c r="B34" s="184" t="s">
        <v>72</v>
      </c>
      <c r="C34" s="190"/>
      <c r="D34" s="190"/>
      <c r="E34" s="190"/>
      <c r="F34" s="222">
        <f>F24</f>
        <v>7508177.9370729998</v>
      </c>
      <c r="G34" s="190"/>
      <c r="H34" s="190"/>
      <c r="I34" s="190"/>
      <c r="J34" s="190"/>
      <c r="K34" s="190"/>
      <c r="L34" s="190"/>
      <c r="M34" s="99"/>
    </row>
    <row r="35" spans="1:13" s="98" customFormat="1" ht="24.95" customHeight="1">
      <c r="A35" s="190"/>
      <c r="B35" s="184" t="s">
        <v>73</v>
      </c>
      <c r="C35" s="190"/>
      <c r="D35" s="190"/>
      <c r="E35" s="190"/>
      <c r="F35" s="221">
        <f>I27</f>
        <v>0</v>
      </c>
      <c r="G35" s="190"/>
      <c r="H35" s="190"/>
      <c r="I35" s="190"/>
      <c r="J35" s="190"/>
      <c r="K35" s="190"/>
      <c r="L35" s="190"/>
      <c r="M35" s="99"/>
    </row>
    <row r="36" spans="1:13" s="98" customFormat="1" ht="24.95" customHeight="1">
      <c r="A36" s="190"/>
      <c r="B36" s="184" t="s">
        <v>74</v>
      </c>
      <c r="C36" s="190"/>
      <c r="D36" s="190"/>
      <c r="E36" s="190"/>
      <c r="F36" s="221" t="str">
        <f>F32</f>
        <v>Nil</v>
      </c>
      <c r="G36" s="190"/>
      <c r="H36" s="190"/>
      <c r="I36" s="190"/>
      <c r="J36" s="190"/>
      <c r="K36" s="190"/>
      <c r="L36" s="190"/>
      <c r="M36" s="99"/>
    </row>
    <row r="37" spans="1:13" s="98" customFormat="1" ht="24.95" customHeight="1">
      <c r="A37" s="190"/>
      <c r="B37" s="184" t="s">
        <v>75</v>
      </c>
      <c r="C37" s="190"/>
      <c r="D37" s="190"/>
      <c r="E37" s="190"/>
      <c r="F37" s="222">
        <f>F34</f>
        <v>7508177.9370729998</v>
      </c>
      <c r="G37" s="190"/>
      <c r="H37" s="190"/>
      <c r="I37" s="190"/>
      <c r="J37" s="190"/>
      <c r="K37" s="190"/>
      <c r="L37" s="190"/>
      <c r="M37" s="99"/>
    </row>
    <row r="38" spans="1:13" s="98" customFormat="1" ht="24.95" customHeight="1">
      <c r="A38" s="190"/>
      <c r="B38" s="190"/>
      <c r="C38" s="190"/>
      <c r="D38" s="190"/>
      <c r="E38" s="190"/>
      <c r="F38" s="190"/>
      <c r="G38" s="190"/>
      <c r="H38" s="190"/>
      <c r="I38" s="190"/>
      <c r="J38" s="190"/>
      <c r="K38" s="190"/>
      <c r="L38" s="190"/>
      <c r="M38" s="99"/>
    </row>
    <row r="39" spans="1:13" ht="22.5" customHeight="1">
      <c r="A39" s="190"/>
      <c r="B39" s="190" t="s">
        <v>221</v>
      </c>
      <c r="C39" s="190"/>
      <c r="D39" s="190"/>
      <c r="E39" s="190"/>
      <c r="F39" s="190"/>
      <c r="G39" s="190"/>
      <c r="H39" s="190"/>
      <c r="I39" s="190"/>
      <c r="J39" s="190"/>
      <c r="K39" s="190"/>
      <c r="L39" s="190"/>
    </row>
    <row r="40" spans="1:13" ht="22.5" customHeight="1">
      <c r="A40" s="190"/>
      <c r="B40" s="190"/>
      <c r="C40" s="190"/>
      <c r="D40" s="190"/>
      <c r="E40" s="190"/>
      <c r="F40" s="190"/>
      <c r="G40" s="190"/>
      <c r="H40" s="190"/>
      <c r="I40" s="190"/>
      <c r="J40" s="190"/>
      <c r="K40" s="190"/>
      <c r="L40" s="190"/>
    </row>
    <row r="41" spans="1:13" ht="22.5" customHeight="1"/>
    <row r="42" spans="1:13" ht="22.5" customHeight="1"/>
    <row r="43" spans="1:13" ht="22.5" customHeight="1">
      <c r="C43" s="210"/>
      <c r="D43" s="211"/>
      <c r="E43" s="211"/>
      <c r="F43" s="211"/>
      <c r="G43" s="211"/>
      <c r="H43" s="211"/>
      <c r="I43" s="211"/>
      <c r="J43" s="211"/>
    </row>
    <row r="44" spans="1:13" ht="22.5" customHeight="1">
      <c r="F44" s="228"/>
    </row>
    <row r="45" spans="1:13" ht="22.5" customHeight="1"/>
    <row r="46" spans="1:13" ht="22.5" customHeight="1"/>
    <row r="47" spans="1:13" ht="22.5" customHeight="1"/>
    <row r="48" spans="1:13"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7.6" customHeight="1"/>
    <row r="68" ht="27.6" customHeight="1"/>
    <row r="69" ht="27.6" customHeight="1"/>
    <row r="70" ht="27.6" customHeight="1"/>
    <row r="71" ht="27.6" customHeight="1"/>
    <row r="72" ht="27.6" customHeight="1"/>
    <row r="73" ht="27.6" customHeight="1"/>
    <row r="74" ht="27.6" customHeight="1"/>
    <row r="75" ht="27.6" customHeight="1"/>
    <row r="76" ht="27.6" customHeight="1"/>
    <row r="77" ht="27.6" customHeight="1"/>
    <row r="78" ht="27.6" customHeight="1"/>
    <row r="79" ht="27.6" customHeight="1"/>
    <row r="80" ht="27.6" customHeight="1"/>
    <row r="81" ht="27.6" customHeight="1"/>
    <row r="82" ht="27.6" customHeight="1"/>
    <row r="83" ht="27.6" customHeight="1"/>
    <row r="84" ht="27.6" customHeight="1"/>
    <row r="85" ht="27.6" customHeight="1"/>
    <row r="86" ht="27.6" customHeight="1"/>
    <row r="87" ht="27.6" customHeight="1"/>
    <row r="88" ht="27.6" customHeight="1"/>
    <row r="89" ht="27.6" customHeight="1"/>
    <row r="90" ht="27.6" customHeight="1"/>
    <row r="91" ht="27.6" customHeight="1"/>
    <row r="92" ht="27.6" customHeight="1"/>
    <row r="93" ht="27.6" customHeight="1"/>
    <row r="94" ht="27.6" customHeight="1"/>
    <row r="95" ht="27.6" customHeight="1"/>
    <row r="96" ht="27.6" customHeight="1"/>
    <row r="97" ht="27.6" customHeight="1"/>
    <row r="98" ht="27.6" customHeight="1"/>
    <row r="99" ht="27.6" customHeight="1"/>
    <row r="100" ht="27.6" customHeight="1"/>
    <row r="101" ht="27.6" customHeight="1"/>
    <row r="102" ht="27.6" customHeight="1"/>
    <row r="103" ht="27.6" customHeight="1"/>
    <row r="104" ht="27.6" customHeight="1"/>
    <row r="105" ht="27.6" customHeight="1"/>
    <row r="106" ht="27.6" customHeight="1"/>
    <row r="107" ht="27.6" customHeight="1"/>
    <row r="108" ht="27.6" customHeight="1"/>
    <row r="109" ht="27.6" customHeight="1"/>
    <row r="110" ht="27.6" customHeight="1"/>
    <row r="111" ht="27.6" customHeight="1"/>
    <row r="112" ht="27.6" customHeight="1"/>
    <row r="113" ht="27.6" customHeight="1"/>
    <row r="114" ht="27.6" customHeight="1"/>
    <row r="115" ht="27.6" customHeight="1"/>
    <row r="116" ht="27.6" customHeight="1"/>
    <row r="117" ht="27.6" customHeight="1"/>
    <row r="118" ht="27.6" customHeight="1"/>
    <row r="119" ht="27.6" customHeight="1"/>
    <row r="120" ht="27.6" customHeight="1"/>
    <row r="121" ht="27.6" customHeight="1"/>
    <row r="122" ht="27.6" customHeight="1"/>
    <row r="123" ht="27.6" customHeight="1"/>
    <row r="124" ht="27.6" customHeight="1"/>
    <row r="125" ht="27.6" customHeight="1"/>
    <row r="126" ht="27.6" customHeight="1"/>
    <row r="127" ht="27.6" customHeight="1"/>
    <row r="128" ht="27.6" customHeight="1"/>
    <row r="129" ht="27.6" customHeight="1"/>
    <row r="130" ht="27.6" customHeight="1"/>
    <row r="131" ht="27.6" customHeight="1"/>
    <row r="132" ht="27.6" customHeight="1"/>
    <row r="133" ht="27.6" customHeight="1"/>
    <row r="134" ht="27.6" customHeight="1"/>
    <row r="135" ht="27.6" customHeight="1"/>
    <row r="136" ht="27.6" customHeight="1"/>
    <row r="137" ht="27.6" customHeight="1"/>
    <row r="138" ht="27.6" customHeight="1"/>
    <row r="139" ht="27.6" customHeight="1"/>
    <row r="140" ht="27.6" customHeight="1"/>
    <row r="141" ht="27.6" customHeight="1"/>
    <row r="142" ht="27.6" customHeight="1"/>
    <row r="143" ht="27.6" customHeight="1"/>
    <row r="144" ht="27.6" customHeight="1"/>
    <row r="145" ht="27.6" customHeight="1"/>
    <row r="146" ht="27.6" customHeight="1"/>
    <row r="147" ht="27.6" customHeight="1"/>
    <row r="148" ht="27.6" customHeight="1"/>
    <row r="149" ht="27.6" customHeight="1"/>
    <row r="150" ht="27.6" customHeight="1"/>
    <row r="151" ht="27.6" customHeight="1"/>
    <row r="152" ht="27.6" customHeight="1"/>
    <row r="153" ht="27.6" customHeight="1"/>
    <row r="154" ht="27.6" customHeight="1"/>
    <row r="155" ht="27.6" customHeight="1"/>
    <row r="156" ht="27.6" customHeight="1"/>
    <row r="157" ht="27.6" customHeight="1"/>
    <row r="158" ht="27.6" customHeight="1"/>
    <row r="159" ht="27.6" customHeight="1"/>
    <row r="160" ht="27.6" customHeight="1"/>
    <row r="161" ht="27.6" customHeight="1"/>
    <row r="162" ht="27.6" customHeight="1"/>
    <row r="163" ht="27.6" customHeight="1"/>
    <row r="164" ht="27.6" customHeight="1"/>
    <row r="165" ht="27.6" customHeight="1"/>
    <row r="166" ht="27.6" customHeight="1"/>
    <row r="167" ht="27.6" customHeight="1"/>
    <row r="168" ht="27.6" customHeight="1"/>
    <row r="169" ht="27.6" customHeight="1"/>
    <row r="170" ht="27.6" customHeight="1"/>
    <row r="171" ht="27.6" customHeight="1"/>
    <row r="172" ht="27.6" customHeight="1"/>
    <row r="173" ht="27.6" customHeight="1"/>
    <row r="174" ht="27.6" customHeight="1"/>
    <row r="175" ht="27.6" customHeight="1"/>
    <row r="176" ht="27.6" customHeight="1"/>
    <row r="177" ht="27.6" customHeight="1"/>
    <row r="178" ht="27.6" customHeight="1"/>
    <row r="179" ht="27.6" customHeight="1"/>
    <row r="180" ht="27.6" customHeight="1"/>
    <row r="181" ht="27.6" customHeight="1"/>
    <row r="182" ht="27.6" customHeight="1"/>
    <row r="183" ht="27.6" customHeight="1"/>
    <row r="184" ht="27.6" customHeight="1"/>
    <row r="185" ht="27.6" customHeight="1"/>
    <row r="186" ht="27.6" customHeight="1"/>
    <row r="187" ht="27.6" customHeight="1"/>
    <row r="188" ht="27.6" customHeight="1"/>
    <row r="189" ht="27.6" customHeight="1"/>
    <row r="190" ht="27.6" customHeight="1"/>
    <row r="191" ht="27.6" customHeight="1"/>
    <row r="192" ht="27.6" customHeight="1"/>
    <row r="193" ht="27.6" customHeight="1"/>
    <row r="194" ht="27.6" customHeight="1"/>
    <row r="195" ht="27.6" customHeight="1"/>
    <row r="196" ht="27.6" customHeight="1"/>
    <row r="197" ht="27.6" customHeight="1"/>
    <row r="198" ht="27.6" customHeight="1"/>
    <row r="199" ht="27.6" customHeight="1"/>
    <row r="200" ht="27.6" customHeight="1"/>
    <row r="201" ht="27.6" customHeight="1"/>
    <row r="202" ht="27.6" customHeight="1"/>
    <row r="203" ht="27.6" customHeight="1"/>
    <row r="204" ht="27.6" customHeight="1"/>
    <row r="205" ht="27.6" customHeight="1"/>
    <row r="206" ht="27.6" customHeight="1"/>
    <row r="207" ht="27.6" customHeight="1"/>
    <row r="208" ht="27.6" customHeight="1"/>
    <row r="209" ht="27.6" customHeight="1"/>
    <row r="210" ht="27.6" customHeight="1"/>
    <row r="211" ht="27.6" customHeight="1"/>
    <row r="212" ht="27.6" customHeight="1"/>
    <row r="213" ht="27.6" customHeight="1"/>
    <row r="214" ht="27.6" customHeight="1"/>
    <row r="215" ht="27.6" customHeight="1"/>
    <row r="216" ht="27.6" customHeight="1"/>
    <row r="217" ht="27.6" customHeight="1"/>
    <row r="218" ht="27.6" customHeight="1"/>
    <row r="219" ht="27.6" customHeight="1"/>
  </sheetData>
  <mergeCells count="20">
    <mergeCell ref="B29:F29"/>
    <mergeCell ref="B1:E1"/>
    <mergeCell ref="G1:L1"/>
    <mergeCell ref="B2:E2"/>
    <mergeCell ref="G2:L2"/>
    <mergeCell ref="B3:E3"/>
    <mergeCell ref="G3:L3"/>
    <mergeCell ref="A4:L4"/>
    <mergeCell ref="A5:A7"/>
    <mergeCell ref="B5:B7"/>
    <mergeCell ref="D5:D6"/>
    <mergeCell ref="E5:E7"/>
    <mergeCell ref="F5:F6"/>
    <mergeCell ref="G5:I5"/>
    <mergeCell ref="J5:K5"/>
    <mergeCell ref="L5:L7"/>
    <mergeCell ref="G6:G7"/>
    <mergeCell ref="H6:H7"/>
    <mergeCell ref="J6:J7"/>
    <mergeCell ref="C5:C7"/>
  </mergeCells>
  <conditionalFormatting sqref="K4:K7 K1:K2">
    <cfRule type="cellIs" dxfId="3" priority="12" stopIfTrue="1" operator="equal">
      <formula>0</formula>
    </cfRule>
  </conditionalFormatting>
  <conditionalFormatting sqref="D27 D24">
    <cfRule type="cellIs" dxfId="2" priority="11" operator="equal">
      <formula>0</formula>
    </cfRule>
  </conditionalFormatting>
  <printOptions horizontalCentered="1"/>
  <pageMargins left="0.4" right="0.4" top="0.75" bottom="0.5" header="0.3" footer="0.3"/>
  <pageSetup scale="90" firstPageNumber="3" orientation="landscape" useFirstPageNumber="1" r:id="rId1"/>
  <headerFooter>
    <oddFooter>&amp;CPage &amp;P - MB 1041</oddFooter>
  </headerFooter>
  <rowBreaks count="2" manualBreakCount="2">
    <brk id="27" max="12" man="1"/>
    <brk id="40"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O26"/>
  <sheetViews>
    <sheetView showWhiteSpace="0" view="pageBreakPreview" zoomScale="85" zoomScaleNormal="55" zoomScaleSheetLayoutView="85" workbookViewId="0">
      <selection activeCell="B14" sqref="B14:L15"/>
    </sheetView>
  </sheetViews>
  <sheetFormatPr defaultColWidth="11.42578125" defaultRowHeight="14.25"/>
  <cols>
    <col min="1" max="1" width="6.42578125" style="4" customWidth="1"/>
    <col min="2" max="2" width="9.140625" style="4" customWidth="1"/>
    <col min="3" max="3" width="8.42578125" style="4" customWidth="1"/>
    <col min="4" max="4" width="7.85546875" style="5" customWidth="1"/>
    <col min="5" max="5" width="22.85546875" style="6" hidden="1" customWidth="1"/>
    <col min="6" max="6" width="9.42578125" style="4" customWidth="1"/>
    <col min="7" max="7" width="14.42578125" style="4" customWidth="1"/>
    <col min="8" max="8" width="11.42578125" style="4"/>
    <col min="9" max="9" width="31.7109375" style="4" customWidth="1"/>
    <col min="10" max="10" width="5.85546875" style="4" customWidth="1"/>
    <col min="11" max="11" width="15.42578125" style="4" customWidth="1"/>
    <col min="12" max="12" width="14" style="4" customWidth="1"/>
    <col min="13" max="13" width="13.42578125" style="4" customWidth="1"/>
    <col min="14" max="256" width="11.42578125" style="4"/>
    <col min="257" max="257" width="5.42578125" style="4" customWidth="1"/>
    <col min="258" max="258" width="9.140625" style="4" customWidth="1"/>
    <col min="259" max="259" width="8.42578125" style="4" customWidth="1"/>
    <col min="260" max="260" width="7.85546875" style="4" customWidth="1"/>
    <col min="261" max="261" width="0" style="4" hidden="1" customWidth="1"/>
    <col min="262" max="262" width="9.42578125" style="4" customWidth="1"/>
    <col min="263" max="263" width="14.42578125" style="4" customWidth="1"/>
    <col min="264" max="264" width="11.42578125" style="4"/>
    <col min="265" max="265" width="23.140625" style="4" customWidth="1"/>
    <col min="266" max="266" width="5.85546875" style="4" customWidth="1"/>
    <col min="267" max="267" width="13.5703125" style="4" bestFit="1" customWidth="1"/>
    <col min="268" max="268" width="14" style="4" customWidth="1"/>
    <col min="269" max="269" width="13.42578125" style="4" customWidth="1"/>
    <col min="270" max="512" width="11.42578125" style="4"/>
    <col min="513" max="513" width="5.42578125" style="4" customWidth="1"/>
    <col min="514" max="514" width="9.140625" style="4" customWidth="1"/>
    <col min="515" max="515" width="8.42578125" style="4" customWidth="1"/>
    <col min="516" max="516" width="7.85546875" style="4" customWidth="1"/>
    <col min="517" max="517" width="0" style="4" hidden="1" customWidth="1"/>
    <col min="518" max="518" width="9.42578125" style="4" customWidth="1"/>
    <col min="519" max="519" width="14.42578125" style="4" customWidth="1"/>
    <col min="520" max="520" width="11.42578125" style="4"/>
    <col min="521" max="521" width="23.140625" style="4" customWidth="1"/>
    <col min="522" max="522" width="5.85546875" style="4" customWidth="1"/>
    <col min="523" max="523" width="13.5703125" style="4" bestFit="1" customWidth="1"/>
    <col min="524" max="524" width="14" style="4" customWidth="1"/>
    <col min="525" max="525" width="13.42578125" style="4" customWidth="1"/>
    <col min="526" max="768" width="11.42578125" style="4"/>
    <col min="769" max="769" width="5.42578125" style="4" customWidth="1"/>
    <col min="770" max="770" width="9.140625" style="4" customWidth="1"/>
    <col min="771" max="771" width="8.42578125" style="4" customWidth="1"/>
    <col min="772" max="772" width="7.85546875" style="4" customWidth="1"/>
    <col min="773" max="773" width="0" style="4" hidden="1" customWidth="1"/>
    <col min="774" max="774" width="9.42578125" style="4" customWidth="1"/>
    <col min="775" max="775" width="14.42578125" style="4" customWidth="1"/>
    <col min="776" max="776" width="11.42578125" style="4"/>
    <col min="777" max="777" width="23.140625" style="4" customWidth="1"/>
    <col min="778" max="778" width="5.85546875" style="4" customWidth="1"/>
    <col min="779" max="779" width="13.5703125" style="4" bestFit="1" customWidth="1"/>
    <col min="780" max="780" width="14" style="4" customWidth="1"/>
    <col min="781" max="781" width="13.42578125" style="4" customWidth="1"/>
    <col min="782" max="1024" width="11.42578125" style="4"/>
    <col min="1025" max="1025" width="5.42578125" style="4" customWidth="1"/>
    <col min="1026" max="1026" width="9.140625" style="4" customWidth="1"/>
    <col min="1027" max="1027" width="8.42578125" style="4" customWidth="1"/>
    <col min="1028" max="1028" width="7.85546875" style="4" customWidth="1"/>
    <col min="1029" max="1029" width="0" style="4" hidden="1" customWidth="1"/>
    <col min="1030" max="1030" width="9.42578125" style="4" customWidth="1"/>
    <col min="1031" max="1031" width="14.42578125" style="4" customWidth="1"/>
    <col min="1032" max="1032" width="11.42578125" style="4"/>
    <col min="1033" max="1033" width="23.140625" style="4" customWidth="1"/>
    <col min="1034" max="1034" width="5.85546875" style="4" customWidth="1"/>
    <col min="1035" max="1035" width="13.5703125" style="4" bestFit="1" customWidth="1"/>
    <col min="1036" max="1036" width="14" style="4" customWidth="1"/>
    <col min="1037" max="1037" width="13.42578125" style="4" customWidth="1"/>
    <col min="1038" max="1280" width="11.42578125" style="4"/>
    <col min="1281" max="1281" width="5.42578125" style="4" customWidth="1"/>
    <col min="1282" max="1282" width="9.140625" style="4" customWidth="1"/>
    <col min="1283" max="1283" width="8.42578125" style="4" customWidth="1"/>
    <col min="1284" max="1284" width="7.85546875" style="4" customWidth="1"/>
    <col min="1285" max="1285" width="0" style="4" hidden="1" customWidth="1"/>
    <col min="1286" max="1286" width="9.42578125" style="4" customWidth="1"/>
    <col min="1287" max="1287" width="14.42578125" style="4" customWidth="1"/>
    <col min="1288" max="1288" width="11.42578125" style="4"/>
    <col min="1289" max="1289" width="23.140625" style="4" customWidth="1"/>
    <col min="1290" max="1290" width="5.85546875" style="4" customWidth="1"/>
    <col min="1291" max="1291" width="13.5703125" style="4" bestFit="1" customWidth="1"/>
    <col min="1292" max="1292" width="14" style="4" customWidth="1"/>
    <col min="1293" max="1293" width="13.42578125" style="4" customWidth="1"/>
    <col min="1294" max="1536" width="11.42578125" style="4"/>
    <col min="1537" max="1537" width="5.42578125" style="4" customWidth="1"/>
    <col min="1538" max="1538" width="9.140625" style="4" customWidth="1"/>
    <col min="1539" max="1539" width="8.42578125" style="4" customWidth="1"/>
    <col min="1540" max="1540" width="7.85546875" style="4" customWidth="1"/>
    <col min="1541" max="1541" width="0" style="4" hidden="1" customWidth="1"/>
    <col min="1542" max="1542" width="9.42578125" style="4" customWidth="1"/>
    <col min="1543" max="1543" width="14.42578125" style="4" customWidth="1"/>
    <col min="1544" max="1544" width="11.42578125" style="4"/>
    <col min="1545" max="1545" width="23.140625" style="4" customWidth="1"/>
    <col min="1546" max="1546" width="5.85546875" style="4" customWidth="1"/>
    <col min="1547" max="1547" width="13.5703125" style="4" bestFit="1" customWidth="1"/>
    <col min="1548" max="1548" width="14" style="4" customWidth="1"/>
    <col min="1549" max="1549" width="13.42578125" style="4" customWidth="1"/>
    <col min="1550" max="1792" width="11.42578125" style="4"/>
    <col min="1793" max="1793" width="5.42578125" style="4" customWidth="1"/>
    <col min="1794" max="1794" width="9.140625" style="4" customWidth="1"/>
    <col min="1795" max="1795" width="8.42578125" style="4" customWidth="1"/>
    <col min="1796" max="1796" width="7.85546875" style="4" customWidth="1"/>
    <col min="1797" max="1797" width="0" style="4" hidden="1" customWidth="1"/>
    <col min="1798" max="1798" width="9.42578125" style="4" customWidth="1"/>
    <col min="1799" max="1799" width="14.42578125" style="4" customWidth="1"/>
    <col min="1800" max="1800" width="11.42578125" style="4"/>
    <col min="1801" max="1801" width="23.140625" style="4" customWidth="1"/>
    <col min="1802" max="1802" width="5.85546875" style="4" customWidth="1"/>
    <col min="1803" max="1803" width="13.5703125" style="4" bestFit="1" customWidth="1"/>
    <col min="1804" max="1804" width="14" style="4" customWidth="1"/>
    <col min="1805" max="1805" width="13.42578125" style="4" customWidth="1"/>
    <col min="1806" max="2048" width="11.42578125" style="4"/>
    <col min="2049" max="2049" width="5.42578125" style="4" customWidth="1"/>
    <col min="2050" max="2050" width="9.140625" style="4" customWidth="1"/>
    <col min="2051" max="2051" width="8.42578125" style="4" customWidth="1"/>
    <col min="2052" max="2052" width="7.85546875" style="4" customWidth="1"/>
    <col min="2053" max="2053" width="0" style="4" hidden="1" customWidth="1"/>
    <col min="2054" max="2054" width="9.42578125" style="4" customWidth="1"/>
    <col min="2055" max="2055" width="14.42578125" style="4" customWidth="1"/>
    <col min="2056" max="2056" width="11.42578125" style="4"/>
    <col min="2057" max="2057" width="23.140625" style="4" customWidth="1"/>
    <col min="2058" max="2058" width="5.85546875" style="4" customWidth="1"/>
    <col min="2059" max="2059" width="13.5703125" style="4" bestFit="1" customWidth="1"/>
    <col min="2060" max="2060" width="14" style="4" customWidth="1"/>
    <col min="2061" max="2061" width="13.42578125" style="4" customWidth="1"/>
    <col min="2062" max="2304" width="11.42578125" style="4"/>
    <col min="2305" max="2305" width="5.42578125" style="4" customWidth="1"/>
    <col min="2306" max="2306" width="9.140625" style="4" customWidth="1"/>
    <col min="2307" max="2307" width="8.42578125" style="4" customWidth="1"/>
    <col min="2308" max="2308" width="7.85546875" style="4" customWidth="1"/>
    <col min="2309" max="2309" width="0" style="4" hidden="1" customWidth="1"/>
    <col min="2310" max="2310" width="9.42578125" style="4" customWidth="1"/>
    <col min="2311" max="2311" width="14.42578125" style="4" customWidth="1"/>
    <col min="2312" max="2312" width="11.42578125" style="4"/>
    <col min="2313" max="2313" width="23.140625" style="4" customWidth="1"/>
    <col min="2314" max="2314" width="5.85546875" style="4" customWidth="1"/>
    <col min="2315" max="2315" width="13.5703125" style="4" bestFit="1" customWidth="1"/>
    <col min="2316" max="2316" width="14" style="4" customWidth="1"/>
    <col min="2317" max="2317" width="13.42578125" style="4" customWidth="1"/>
    <col min="2318" max="2560" width="11.42578125" style="4"/>
    <col min="2561" max="2561" width="5.42578125" style="4" customWidth="1"/>
    <col min="2562" max="2562" width="9.140625" style="4" customWidth="1"/>
    <col min="2563" max="2563" width="8.42578125" style="4" customWidth="1"/>
    <col min="2564" max="2564" width="7.85546875" style="4" customWidth="1"/>
    <col min="2565" max="2565" width="0" style="4" hidden="1" customWidth="1"/>
    <col min="2566" max="2566" width="9.42578125" style="4" customWidth="1"/>
    <col min="2567" max="2567" width="14.42578125" style="4" customWidth="1"/>
    <col min="2568" max="2568" width="11.42578125" style="4"/>
    <col min="2569" max="2569" width="23.140625" style="4" customWidth="1"/>
    <col min="2570" max="2570" width="5.85546875" style="4" customWidth="1"/>
    <col min="2571" max="2571" width="13.5703125" style="4" bestFit="1" customWidth="1"/>
    <col min="2572" max="2572" width="14" style="4" customWidth="1"/>
    <col min="2573" max="2573" width="13.42578125" style="4" customWidth="1"/>
    <col min="2574" max="2816" width="11.42578125" style="4"/>
    <col min="2817" max="2817" width="5.42578125" style="4" customWidth="1"/>
    <col min="2818" max="2818" width="9.140625" style="4" customWidth="1"/>
    <col min="2819" max="2819" width="8.42578125" style="4" customWidth="1"/>
    <col min="2820" max="2820" width="7.85546875" style="4" customWidth="1"/>
    <col min="2821" max="2821" width="0" style="4" hidden="1" customWidth="1"/>
    <col min="2822" max="2822" width="9.42578125" style="4" customWidth="1"/>
    <col min="2823" max="2823" width="14.42578125" style="4" customWidth="1"/>
    <col min="2824" max="2824" width="11.42578125" style="4"/>
    <col min="2825" max="2825" width="23.140625" style="4" customWidth="1"/>
    <col min="2826" max="2826" width="5.85546875" style="4" customWidth="1"/>
    <col min="2827" max="2827" width="13.5703125" style="4" bestFit="1" customWidth="1"/>
    <col min="2828" max="2828" width="14" style="4" customWidth="1"/>
    <col min="2829" max="2829" width="13.42578125" style="4" customWidth="1"/>
    <col min="2830" max="3072" width="11.42578125" style="4"/>
    <col min="3073" max="3073" width="5.42578125" style="4" customWidth="1"/>
    <col min="3074" max="3074" width="9.140625" style="4" customWidth="1"/>
    <col min="3075" max="3075" width="8.42578125" style="4" customWidth="1"/>
    <col min="3076" max="3076" width="7.85546875" style="4" customWidth="1"/>
    <col min="3077" max="3077" width="0" style="4" hidden="1" customWidth="1"/>
    <col min="3078" max="3078" width="9.42578125" style="4" customWidth="1"/>
    <col min="3079" max="3079" width="14.42578125" style="4" customWidth="1"/>
    <col min="3080" max="3080" width="11.42578125" style="4"/>
    <col min="3081" max="3081" width="23.140625" style="4" customWidth="1"/>
    <col min="3082" max="3082" width="5.85546875" style="4" customWidth="1"/>
    <col min="3083" max="3083" width="13.5703125" style="4" bestFit="1" customWidth="1"/>
    <col min="3084" max="3084" width="14" style="4" customWidth="1"/>
    <col min="3085" max="3085" width="13.42578125" style="4" customWidth="1"/>
    <col min="3086" max="3328" width="11.42578125" style="4"/>
    <col min="3329" max="3329" width="5.42578125" style="4" customWidth="1"/>
    <col min="3330" max="3330" width="9.140625" style="4" customWidth="1"/>
    <col min="3331" max="3331" width="8.42578125" style="4" customWidth="1"/>
    <col min="3332" max="3332" width="7.85546875" style="4" customWidth="1"/>
    <col min="3333" max="3333" width="0" style="4" hidden="1" customWidth="1"/>
    <col min="3334" max="3334" width="9.42578125" style="4" customWidth="1"/>
    <col min="3335" max="3335" width="14.42578125" style="4" customWidth="1"/>
    <col min="3336" max="3336" width="11.42578125" style="4"/>
    <col min="3337" max="3337" width="23.140625" style="4" customWidth="1"/>
    <col min="3338" max="3338" width="5.85546875" style="4" customWidth="1"/>
    <col min="3339" max="3339" width="13.5703125" style="4" bestFit="1" customWidth="1"/>
    <col min="3340" max="3340" width="14" style="4" customWidth="1"/>
    <col min="3341" max="3341" width="13.42578125" style="4" customWidth="1"/>
    <col min="3342" max="3584" width="11.42578125" style="4"/>
    <col min="3585" max="3585" width="5.42578125" style="4" customWidth="1"/>
    <col min="3586" max="3586" width="9.140625" style="4" customWidth="1"/>
    <col min="3587" max="3587" width="8.42578125" style="4" customWidth="1"/>
    <col min="3588" max="3588" width="7.85546875" style="4" customWidth="1"/>
    <col min="3589" max="3589" width="0" style="4" hidden="1" customWidth="1"/>
    <col min="3590" max="3590" width="9.42578125" style="4" customWidth="1"/>
    <col min="3591" max="3591" width="14.42578125" style="4" customWidth="1"/>
    <col min="3592" max="3592" width="11.42578125" style="4"/>
    <col min="3593" max="3593" width="23.140625" style="4" customWidth="1"/>
    <col min="3594" max="3594" width="5.85546875" style="4" customWidth="1"/>
    <col min="3595" max="3595" width="13.5703125" style="4" bestFit="1" customWidth="1"/>
    <col min="3596" max="3596" width="14" style="4" customWidth="1"/>
    <col min="3597" max="3597" width="13.42578125" style="4" customWidth="1"/>
    <col min="3598" max="3840" width="11.42578125" style="4"/>
    <col min="3841" max="3841" width="5.42578125" style="4" customWidth="1"/>
    <col min="3842" max="3842" width="9.140625" style="4" customWidth="1"/>
    <col min="3843" max="3843" width="8.42578125" style="4" customWidth="1"/>
    <col min="3844" max="3844" width="7.85546875" style="4" customWidth="1"/>
    <col min="3845" max="3845" width="0" style="4" hidden="1" customWidth="1"/>
    <col min="3846" max="3846" width="9.42578125" style="4" customWidth="1"/>
    <col min="3847" max="3847" width="14.42578125" style="4" customWidth="1"/>
    <col min="3848" max="3848" width="11.42578125" style="4"/>
    <col min="3849" max="3849" width="23.140625" style="4" customWidth="1"/>
    <col min="3850" max="3850" width="5.85546875" style="4" customWidth="1"/>
    <col min="3851" max="3851" width="13.5703125" style="4" bestFit="1" customWidth="1"/>
    <col min="3852" max="3852" width="14" style="4" customWidth="1"/>
    <col min="3853" max="3853" width="13.42578125" style="4" customWidth="1"/>
    <col min="3854" max="4096" width="11.42578125" style="4"/>
    <col min="4097" max="4097" width="5.42578125" style="4" customWidth="1"/>
    <col min="4098" max="4098" width="9.140625" style="4" customWidth="1"/>
    <col min="4099" max="4099" width="8.42578125" style="4" customWidth="1"/>
    <col min="4100" max="4100" width="7.85546875" style="4" customWidth="1"/>
    <col min="4101" max="4101" width="0" style="4" hidden="1" customWidth="1"/>
    <col min="4102" max="4102" width="9.42578125" style="4" customWidth="1"/>
    <col min="4103" max="4103" width="14.42578125" style="4" customWidth="1"/>
    <col min="4104" max="4104" width="11.42578125" style="4"/>
    <col min="4105" max="4105" width="23.140625" style="4" customWidth="1"/>
    <col min="4106" max="4106" width="5.85546875" style="4" customWidth="1"/>
    <col min="4107" max="4107" width="13.5703125" style="4" bestFit="1" customWidth="1"/>
    <col min="4108" max="4108" width="14" style="4" customWidth="1"/>
    <col min="4109" max="4109" width="13.42578125" style="4" customWidth="1"/>
    <col min="4110" max="4352" width="11.42578125" style="4"/>
    <col min="4353" max="4353" width="5.42578125" style="4" customWidth="1"/>
    <col min="4354" max="4354" width="9.140625" style="4" customWidth="1"/>
    <col min="4355" max="4355" width="8.42578125" style="4" customWidth="1"/>
    <col min="4356" max="4356" width="7.85546875" style="4" customWidth="1"/>
    <col min="4357" max="4357" width="0" style="4" hidden="1" customWidth="1"/>
    <col min="4358" max="4358" width="9.42578125" style="4" customWidth="1"/>
    <col min="4359" max="4359" width="14.42578125" style="4" customWidth="1"/>
    <col min="4360" max="4360" width="11.42578125" style="4"/>
    <col min="4361" max="4361" width="23.140625" style="4" customWidth="1"/>
    <col min="4362" max="4362" width="5.85546875" style="4" customWidth="1"/>
    <col min="4363" max="4363" width="13.5703125" style="4" bestFit="1" customWidth="1"/>
    <col min="4364" max="4364" width="14" style="4" customWidth="1"/>
    <col min="4365" max="4365" width="13.42578125" style="4" customWidth="1"/>
    <col min="4366" max="4608" width="11.42578125" style="4"/>
    <col min="4609" max="4609" width="5.42578125" style="4" customWidth="1"/>
    <col min="4610" max="4610" width="9.140625" style="4" customWidth="1"/>
    <col min="4611" max="4611" width="8.42578125" style="4" customWidth="1"/>
    <col min="4612" max="4612" width="7.85546875" style="4" customWidth="1"/>
    <col min="4613" max="4613" width="0" style="4" hidden="1" customWidth="1"/>
    <col min="4614" max="4614" width="9.42578125" style="4" customWidth="1"/>
    <col min="4615" max="4615" width="14.42578125" style="4" customWidth="1"/>
    <col min="4616" max="4616" width="11.42578125" style="4"/>
    <col min="4617" max="4617" width="23.140625" style="4" customWidth="1"/>
    <col min="4618" max="4618" width="5.85546875" style="4" customWidth="1"/>
    <col min="4619" max="4619" width="13.5703125" style="4" bestFit="1" customWidth="1"/>
    <col min="4620" max="4620" width="14" style="4" customWidth="1"/>
    <col min="4621" max="4621" width="13.42578125" style="4" customWidth="1"/>
    <col min="4622" max="4864" width="11.42578125" style="4"/>
    <col min="4865" max="4865" width="5.42578125" style="4" customWidth="1"/>
    <col min="4866" max="4866" width="9.140625" style="4" customWidth="1"/>
    <col min="4867" max="4867" width="8.42578125" style="4" customWidth="1"/>
    <col min="4868" max="4868" width="7.85546875" style="4" customWidth="1"/>
    <col min="4869" max="4869" width="0" style="4" hidden="1" customWidth="1"/>
    <col min="4870" max="4870" width="9.42578125" style="4" customWidth="1"/>
    <col min="4871" max="4871" width="14.42578125" style="4" customWidth="1"/>
    <col min="4872" max="4872" width="11.42578125" style="4"/>
    <col min="4873" max="4873" width="23.140625" style="4" customWidth="1"/>
    <col min="4874" max="4874" width="5.85546875" style="4" customWidth="1"/>
    <col min="4875" max="4875" width="13.5703125" style="4" bestFit="1" customWidth="1"/>
    <col min="4876" max="4876" width="14" style="4" customWidth="1"/>
    <col min="4877" max="4877" width="13.42578125" style="4" customWidth="1"/>
    <col min="4878" max="5120" width="11.42578125" style="4"/>
    <col min="5121" max="5121" width="5.42578125" style="4" customWidth="1"/>
    <col min="5122" max="5122" width="9.140625" style="4" customWidth="1"/>
    <col min="5123" max="5123" width="8.42578125" style="4" customWidth="1"/>
    <col min="5124" max="5124" width="7.85546875" style="4" customWidth="1"/>
    <col min="5125" max="5125" width="0" style="4" hidden="1" customWidth="1"/>
    <col min="5126" max="5126" width="9.42578125" style="4" customWidth="1"/>
    <col min="5127" max="5127" width="14.42578125" style="4" customWidth="1"/>
    <col min="5128" max="5128" width="11.42578125" style="4"/>
    <col min="5129" max="5129" width="23.140625" style="4" customWidth="1"/>
    <col min="5130" max="5130" width="5.85546875" style="4" customWidth="1"/>
    <col min="5131" max="5131" width="13.5703125" style="4" bestFit="1" customWidth="1"/>
    <col min="5132" max="5132" width="14" style="4" customWidth="1"/>
    <col min="5133" max="5133" width="13.42578125" style="4" customWidth="1"/>
    <col min="5134" max="5376" width="11.42578125" style="4"/>
    <col min="5377" max="5377" width="5.42578125" style="4" customWidth="1"/>
    <col min="5378" max="5378" width="9.140625" style="4" customWidth="1"/>
    <col min="5379" max="5379" width="8.42578125" style="4" customWidth="1"/>
    <col min="5380" max="5380" width="7.85546875" style="4" customWidth="1"/>
    <col min="5381" max="5381" width="0" style="4" hidden="1" customWidth="1"/>
    <col min="5382" max="5382" width="9.42578125" style="4" customWidth="1"/>
    <col min="5383" max="5383" width="14.42578125" style="4" customWidth="1"/>
    <col min="5384" max="5384" width="11.42578125" style="4"/>
    <col min="5385" max="5385" width="23.140625" style="4" customWidth="1"/>
    <col min="5386" max="5386" width="5.85546875" style="4" customWidth="1"/>
    <col min="5387" max="5387" width="13.5703125" style="4" bestFit="1" customWidth="1"/>
    <col min="5388" max="5388" width="14" style="4" customWidth="1"/>
    <col min="5389" max="5389" width="13.42578125" style="4" customWidth="1"/>
    <col min="5390" max="5632" width="11.42578125" style="4"/>
    <col min="5633" max="5633" width="5.42578125" style="4" customWidth="1"/>
    <col min="5634" max="5634" width="9.140625" style="4" customWidth="1"/>
    <col min="5635" max="5635" width="8.42578125" style="4" customWidth="1"/>
    <col min="5636" max="5636" width="7.85546875" style="4" customWidth="1"/>
    <col min="5637" max="5637" width="0" style="4" hidden="1" customWidth="1"/>
    <col min="5638" max="5638" width="9.42578125" style="4" customWidth="1"/>
    <col min="5639" max="5639" width="14.42578125" style="4" customWidth="1"/>
    <col min="5640" max="5640" width="11.42578125" style="4"/>
    <col min="5641" max="5641" width="23.140625" style="4" customWidth="1"/>
    <col min="5642" max="5642" width="5.85546875" style="4" customWidth="1"/>
    <col min="5643" max="5643" width="13.5703125" style="4" bestFit="1" customWidth="1"/>
    <col min="5644" max="5644" width="14" style="4" customWidth="1"/>
    <col min="5645" max="5645" width="13.42578125" style="4" customWidth="1"/>
    <col min="5646" max="5888" width="11.42578125" style="4"/>
    <col min="5889" max="5889" width="5.42578125" style="4" customWidth="1"/>
    <col min="5890" max="5890" width="9.140625" style="4" customWidth="1"/>
    <col min="5891" max="5891" width="8.42578125" style="4" customWidth="1"/>
    <col min="5892" max="5892" width="7.85546875" style="4" customWidth="1"/>
    <col min="5893" max="5893" width="0" style="4" hidden="1" customWidth="1"/>
    <col min="5894" max="5894" width="9.42578125" style="4" customWidth="1"/>
    <col min="5895" max="5895" width="14.42578125" style="4" customWidth="1"/>
    <col min="5896" max="5896" width="11.42578125" style="4"/>
    <col min="5897" max="5897" width="23.140625" style="4" customWidth="1"/>
    <col min="5898" max="5898" width="5.85546875" style="4" customWidth="1"/>
    <col min="5899" max="5899" width="13.5703125" style="4" bestFit="1" customWidth="1"/>
    <col min="5900" max="5900" width="14" style="4" customWidth="1"/>
    <col min="5901" max="5901" width="13.42578125" style="4" customWidth="1"/>
    <col min="5902" max="6144" width="11.42578125" style="4"/>
    <col min="6145" max="6145" width="5.42578125" style="4" customWidth="1"/>
    <col min="6146" max="6146" width="9.140625" style="4" customWidth="1"/>
    <col min="6147" max="6147" width="8.42578125" style="4" customWidth="1"/>
    <col min="6148" max="6148" width="7.85546875" style="4" customWidth="1"/>
    <col min="6149" max="6149" width="0" style="4" hidden="1" customWidth="1"/>
    <col min="6150" max="6150" width="9.42578125" style="4" customWidth="1"/>
    <col min="6151" max="6151" width="14.42578125" style="4" customWidth="1"/>
    <col min="6152" max="6152" width="11.42578125" style="4"/>
    <col min="6153" max="6153" width="23.140625" style="4" customWidth="1"/>
    <col min="6154" max="6154" width="5.85546875" style="4" customWidth="1"/>
    <col min="6155" max="6155" width="13.5703125" style="4" bestFit="1" customWidth="1"/>
    <col min="6156" max="6156" width="14" style="4" customWidth="1"/>
    <col min="6157" max="6157" width="13.42578125" style="4" customWidth="1"/>
    <col min="6158" max="6400" width="11.42578125" style="4"/>
    <col min="6401" max="6401" width="5.42578125" style="4" customWidth="1"/>
    <col min="6402" max="6402" width="9.140625" style="4" customWidth="1"/>
    <col min="6403" max="6403" width="8.42578125" style="4" customWidth="1"/>
    <col min="6404" max="6404" width="7.85546875" style="4" customWidth="1"/>
    <col min="6405" max="6405" width="0" style="4" hidden="1" customWidth="1"/>
    <col min="6406" max="6406" width="9.42578125" style="4" customWidth="1"/>
    <col min="6407" max="6407" width="14.42578125" style="4" customWidth="1"/>
    <col min="6408" max="6408" width="11.42578125" style="4"/>
    <col min="6409" max="6409" width="23.140625" style="4" customWidth="1"/>
    <col min="6410" max="6410" width="5.85546875" style="4" customWidth="1"/>
    <col min="6411" max="6411" width="13.5703125" style="4" bestFit="1" customWidth="1"/>
    <col min="6412" max="6412" width="14" style="4" customWidth="1"/>
    <col min="6413" max="6413" width="13.42578125" style="4" customWidth="1"/>
    <col min="6414" max="6656" width="11.42578125" style="4"/>
    <col min="6657" max="6657" width="5.42578125" style="4" customWidth="1"/>
    <col min="6658" max="6658" width="9.140625" style="4" customWidth="1"/>
    <col min="6659" max="6659" width="8.42578125" style="4" customWidth="1"/>
    <col min="6660" max="6660" width="7.85546875" style="4" customWidth="1"/>
    <col min="6661" max="6661" width="0" style="4" hidden="1" customWidth="1"/>
    <col min="6662" max="6662" width="9.42578125" style="4" customWidth="1"/>
    <col min="6663" max="6663" width="14.42578125" style="4" customWidth="1"/>
    <col min="6664" max="6664" width="11.42578125" style="4"/>
    <col min="6665" max="6665" width="23.140625" style="4" customWidth="1"/>
    <col min="6666" max="6666" width="5.85546875" style="4" customWidth="1"/>
    <col min="6667" max="6667" width="13.5703125" style="4" bestFit="1" customWidth="1"/>
    <col min="6668" max="6668" width="14" style="4" customWidth="1"/>
    <col min="6669" max="6669" width="13.42578125" style="4" customWidth="1"/>
    <col min="6670" max="6912" width="11.42578125" style="4"/>
    <col min="6913" max="6913" width="5.42578125" style="4" customWidth="1"/>
    <col min="6914" max="6914" width="9.140625" style="4" customWidth="1"/>
    <col min="6915" max="6915" width="8.42578125" style="4" customWidth="1"/>
    <col min="6916" max="6916" width="7.85546875" style="4" customWidth="1"/>
    <col min="6917" max="6917" width="0" style="4" hidden="1" customWidth="1"/>
    <col min="6918" max="6918" width="9.42578125" style="4" customWidth="1"/>
    <col min="6919" max="6919" width="14.42578125" style="4" customWidth="1"/>
    <col min="6920" max="6920" width="11.42578125" style="4"/>
    <col min="6921" max="6921" width="23.140625" style="4" customWidth="1"/>
    <col min="6922" max="6922" width="5.85546875" style="4" customWidth="1"/>
    <col min="6923" max="6923" width="13.5703125" style="4" bestFit="1" customWidth="1"/>
    <col min="6924" max="6924" width="14" style="4" customWidth="1"/>
    <col min="6925" max="6925" width="13.42578125" style="4" customWidth="1"/>
    <col min="6926" max="7168" width="11.42578125" style="4"/>
    <col min="7169" max="7169" width="5.42578125" style="4" customWidth="1"/>
    <col min="7170" max="7170" width="9.140625" style="4" customWidth="1"/>
    <col min="7171" max="7171" width="8.42578125" style="4" customWidth="1"/>
    <col min="7172" max="7172" width="7.85546875" style="4" customWidth="1"/>
    <col min="7173" max="7173" width="0" style="4" hidden="1" customWidth="1"/>
    <col min="7174" max="7174" width="9.42578125" style="4" customWidth="1"/>
    <col min="7175" max="7175" width="14.42578125" style="4" customWidth="1"/>
    <col min="7176" max="7176" width="11.42578125" style="4"/>
    <col min="7177" max="7177" width="23.140625" style="4" customWidth="1"/>
    <col min="7178" max="7178" width="5.85546875" style="4" customWidth="1"/>
    <col min="7179" max="7179" width="13.5703125" style="4" bestFit="1" customWidth="1"/>
    <col min="7180" max="7180" width="14" style="4" customWidth="1"/>
    <col min="7181" max="7181" width="13.42578125" style="4" customWidth="1"/>
    <col min="7182" max="7424" width="11.42578125" style="4"/>
    <col min="7425" max="7425" width="5.42578125" style="4" customWidth="1"/>
    <col min="7426" max="7426" width="9.140625" style="4" customWidth="1"/>
    <col min="7427" max="7427" width="8.42578125" style="4" customWidth="1"/>
    <col min="7428" max="7428" width="7.85546875" style="4" customWidth="1"/>
    <col min="7429" max="7429" width="0" style="4" hidden="1" customWidth="1"/>
    <col min="7430" max="7430" width="9.42578125" style="4" customWidth="1"/>
    <col min="7431" max="7431" width="14.42578125" style="4" customWidth="1"/>
    <col min="7432" max="7432" width="11.42578125" style="4"/>
    <col min="7433" max="7433" width="23.140625" style="4" customWidth="1"/>
    <col min="7434" max="7434" width="5.85546875" style="4" customWidth="1"/>
    <col min="7435" max="7435" width="13.5703125" style="4" bestFit="1" customWidth="1"/>
    <col min="7436" max="7436" width="14" style="4" customWidth="1"/>
    <col min="7437" max="7437" width="13.42578125" style="4" customWidth="1"/>
    <col min="7438" max="7680" width="11.42578125" style="4"/>
    <col min="7681" max="7681" width="5.42578125" style="4" customWidth="1"/>
    <col min="7682" max="7682" width="9.140625" style="4" customWidth="1"/>
    <col min="7683" max="7683" width="8.42578125" style="4" customWidth="1"/>
    <col min="7684" max="7684" width="7.85546875" style="4" customWidth="1"/>
    <col min="7685" max="7685" width="0" style="4" hidden="1" customWidth="1"/>
    <col min="7686" max="7686" width="9.42578125" style="4" customWidth="1"/>
    <col min="7687" max="7687" width="14.42578125" style="4" customWidth="1"/>
    <col min="7688" max="7688" width="11.42578125" style="4"/>
    <col min="7689" max="7689" width="23.140625" style="4" customWidth="1"/>
    <col min="7690" max="7690" width="5.85546875" style="4" customWidth="1"/>
    <col min="7691" max="7691" width="13.5703125" style="4" bestFit="1" customWidth="1"/>
    <col min="7692" max="7692" width="14" style="4" customWidth="1"/>
    <col min="7693" max="7693" width="13.42578125" style="4" customWidth="1"/>
    <col min="7694" max="7936" width="11.42578125" style="4"/>
    <col min="7937" max="7937" width="5.42578125" style="4" customWidth="1"/>
    <col min="7938" max="7938" width="9.140625" style="4" customWidth="1"/>
    <col min="7939" max="7939" width="8.42578125" style="4" customWidth="1"/>
    <col min="7940" max="7940" width="7.85546875" style="4" customWidth="1"/>
    <col min="7941" max="7941" width="0" style="4" hidden="1" customWidth="1"/>
    <col min="7942" max="7942" width="9.42578125" style="4" customWidth="1"/>
    <col min="7943" max="7943" width="14.42578125" style="4" customWidth="1"/>
    <col min="7944" max="7944" width="11.42578125" style="4"/>
    <col min="7945" max="7945" width="23.140625" style="4" customWidth="1"/>
    <col min="7946" max="7946" width="5.85546875" style="4" customWidth="1"/>
    <col min="7947" max="7947" width="13.5703125" style="4" bestFit="1" customWidth="1"/>
    <col min="7948" max="7948" width="14" style="4" customWidth="1"/>
    <col min="7949" max="7949" width="13.42578125" style="4" customWidth="1"/>
    <col min="7950" max="8192" width="11.42578125" style="4"/>
    <col min="8193" max="8193" width="5.42578125" style="4" customWidth="1"/>
    <col min="8194" max="8194" width="9.140625" style="4" customWidth="1"/>
    <col min="8195" max="8195" width="8.42578125" style="4" customWidth="1"/>
    <col min="8196" max="8196" width="7.85546875" style="4" customWidth="1"/>
    <col min="8197" max="8197" width="0" style="4" hidden="1" customWidth="1"/>
    <col min="8198" max="8198" width="9.42578125" style="4" customWidth="1"/>
    <col min="8199" max="8199" width="14.42578125" style="4" customWidth="1"/>
    <col min="8200" max="8200" width="11.42578125" style="4"/>
    <col min="8201" max="8201" width="23.140625" style="4" customWidth="1"/>
    <col min="8202" max="8202" width="5.85546875" style="4" customWidth="1"/>
    <col min="8203" max="8203" width="13.5703125" style="4" bestFit="1" customWidth="1"/>
    <col min="8204" max="8204" width="14" style="4" customWidth="1"/>
    <col min="8205" max="8205" width="13.42578125" style="4" customWidth="1"/>
    <col min="8206" max="8448" width="11.42578125" style="4"/>
    <col min="8449" max="8449" width="5.42578125" style="4" customWidth="1"/>
    <col min="8450" max="8450" width="9.140625" style="4" customWidth="1"/>
    <col min="8451" max="8451" width="8.42578125" style="4" customWidth="1"/>
    <col min="8452" max="8452" width="7.85546875" style="4" customWidth="1"/>
    <col min="8453" max="8453" width="0" style="4" hidden="1" customWidth="1"/>
    <col min="8454" max="8454" width="9.42578125" style="4" customWidth="1"/>
    <col min="8455" max="8455" width="14.42578125" style="4" customWidth="1"/>
    <col min="8456" max="8456" width="11.42578125" style="4"/>
    <col min="8457" max="8457" width="23.140625" style="4" customWidth="1"/>
    <col min="8458" max="8458" width="5.85546875" style="4" customWidth="1"/>
    <col min="8459" max="8459" width="13.5703125" style="4" bestFit="1" customWidth="1"/>
    <col min="8460" max="8460" width="14" style="4" customWidth="1"/>
    <col min="8461" max="8461" width="13.42578125" style="4" customWidth="1"/>
    <col min="8462" max="8704" width="11.42578125" style="4"/>
    <col min="8705" max="8705" width="5.42578125" style="4" customWidth="1"/>
    <col min="8706" max="8706" width="9.140625" style="4" customWidth="1"/>
    <col min="8707" max="8707" width="8.42578125" style="4" customWidth="1"/>
    <col min="8708" max="8708" width="7.85546875" style="4" customWidth="1"/>
    <col min="8709" max="8709" width="0" style="4" hidden="1" customWidth="1"/>
    <col min="8710" max="8710" width="9.42578125" style="4" customWidth="1"/>
    <col min="8711" max="8711" width="14.42578125" style="4" customWidth="1"/>
    <col min="8712" max="8712" width="11.42578125" style="4"/>
    <col min="8713" max="8713" width="23.140625" style="4" customWidth="1"/>
    <col min="8714" max="8714" width="5.85546875" style="4" customWidth="1"/>
    <col min="8715" max="8715" width="13.5703125" style="4" bestFit="1" customWidth="1"/>
    <col min="8716" max="8716" width="14" style="4" customWidth="1"/>
    <col min="8717" max="8717" width="13.42578125" style="4" customWidth="1"/>
    <col min="8718" max="8960" width="11.42578125" style="4"/>
    <col min="8961" max="8961" width="5.42578125" style="4" customWidth="1"/>
    <col min="8962" max="8962" width="9.140625" style="4" customWidth="1"/>
    <col min="8963" max="8963" width="8.42578125" style="4" customWidth="1"/>
    <col min="8964" max="8964" width="7.85546875" style="4" customWidth="1"/>
    <col min="8965" max="8965" width="0" style="4" hidden="1" customWidth="1"/>
    <col min="8966" max="8966" width="9.42578125" style="4" customWidth="1"/>
    <col min="8967" max="8967" width="14.42578125" style="4" customWidth="1"/>
    <col min="8968" max="8968" width="11.42578125" style="4"/>
    <col min="8969" max="8969" width="23.140625" style="4" customWidth="1"/>
    <col min="8970" max="8970" width="5.85546875" style="4" customWidth="1"/>
    <col min="8971" max="8971" width="13.5703125" style="4" bestFit="1" customWidth="1"/>
    <col min="8972" max="8972" width="14" style="4" customWidth="1"/>
    <col min="8973" max="8973" width="13.42578125" style="4" customWidth="1"/>
    <col min="8974" max="9216" width="11.42578125" style="4"/>
    <col min="9217" max="9217" width="5.42578125" style="4" customWidth="1"/>
    <col min="9218" max="9218" width="9.140625" style="4" customWidth="1"/>
    <col min="9219" max="9219" width="8.42578125" style="4" customWidth="1"/>
    <col min="9220" max="9220" width="7.85546875" style="4" customWidth="1"/>
    <col min="9221" max="9221" width="0" style="4" hidden="1" customWidth="1"/>
    <col min="9222" max="9222" width="9.42578125" style="4" customWidth="1"/>
    <col min="9223" max="9223" width="14.42578125" style="4" customWidth="1"/>
    <col min="9224" max="9224" width="11.42578125" style="4"/>
    <col min="9225" max="9225" width="23.140625" style="4" customWidth="1"/>
    <col min="9226" max="9226" width="5.85546875" style="4" customWidth="1"/>
    <col min="9227" max="9227" width="13.5703125" style="4" bestFit="1" customWidth="1"/>
    <col min="9228" max="9228" width="14" style="4" customWidth="1"/>
    <col min="9229" max="9229" width="13.42578125" style="4" customWidth="1"/>
    <col min="9230" max="9472" width="11.42578125" style="4"/>
    <col min="9473" max="9473" width="5.42578125" style="4" customWidth="1"/>
    <col min="9474" max="9474" width="9.140625" style="4" customWidth="1"/>
    <col min="9475" max="9475" width="8.42578125" style="4" customWidth="1"/>
    <col min="9476" max="9476" width="7.85546875" style="4" customWidth="1"/>
    <col min="9477" max="9477" width="0" style="4" hidden="1" customWidth="1"/>
    <col min="9478" max="9478" width="9.42578125" style="4" customWidth="1"/>
    <col min="9479" max="9479" width="14.42578125" style="4" customWidth="1"/>
    <col min="9480" max="9480" width="11.42578125" style="4"/>
    <col min="9481" max="9481" width="23.140625" style="4" customWidth="1"/>
    <col min="9482" max="9482" width="5.85546875" style="4" customWidth="1"/>
    <col min="9483" max="9483" width="13.5703125" style="4" bestFit="1" customWidth="1"/>
    <col min="9484" max="9484" width="14" style="4" customWidth="1"/>
    <col min="9485" max="9485" width="13.42578125" style="4" customWidth="1"/>
    <col min="9486" max="9728" width="11.42578125" style="4"/>
    <col min="9729" max="9729" width="5.42578125" style="4" customWidth="1"/>
    <col min="9730" max="9730" width="9.140625" style="4" customWidth="1"/>
    <col min="9731" max="9731" width="8.42578125" style="4" customWidth="1"/>
    <col min="9732" max="9732" width="7.85546875" style="4" customWidth="1"/>
    <col min="9733" max="9733" width="0" style="4" hidden="1" customWidth="1"/>
    <col min="9734" max="9734" width="9.42578125" style="4" customWidth="1"/>
    <col min="9735" max="9735" width="14.42578125" style="4" customWidth="1"/>
    <col min="9736" max="9736" width="11.42578125" style="4"/>
    <col min="9737" max="9737" width="23.140625" style="4" customWidth="1"/>
    <col min="9738" max="9738" width="5.85546875" style="4" customWidth="1"/>
    <col min="9739" max="9739" width="13.5703125" style="4" bestFit="1" customWidth="1"/>
    <col min="9740" max="9740" width="14" style="4" customWidth="1"/>
    <col min="9741" max="9741" width="13.42578125" style="4" customWidth="1"/>
    <col min="9742" max="9984" width="11.42578125" style="4"/>
    <col min="9985" max="9985" width="5.42578125" style="4" customWidth="1"/>
    <col min="9986" max="9986" width="9.140625" style="4" customWidth="1"/>
    <col min="9987" max="9987" width="8.42578125" style="4" customWidth="1"/>
    <col min="9988" max="9988" width="7.85546875" style="4" customWidth="1"/>
    <col min="9989" max="9989" width="0" style="4" hidden="1" customWidth="1"/>
    <col min="9990" max="9990" width="9.42578125" style="4" customWidth="1"/>
    <col min="9991" max="9991" width="14.42578125" style="4" customWidth="1"/>
    <col min="9992" max="9992" width="11.42578125" style="4"/>
    <col min="9993" max="9993" width="23.140625" style="4" customWidth="1"/>
    <col min="9994" max="9994" width="5.85546875" style="4" customWidth="1"/>
    <col min="9995" max="9995" width="13.5703125" style="4" bestFit="1" customWidth="1"/>
    <col min="9996" max="9996" width="14" style="4" customWidth="1"/>
    <col min="9997" max="9997" width="13.42578125" style="4" customWidth="1"/>
    <col min="9998" max="10240" width="11.42578125" style="4"/>
    <col min="10241" max="10241" width="5.42578125" style="4" customWidth="1"/>
    <col min="10242" max="10242" width="9.140625" style="4" customWidth="1"/>
    <col min="10243" max="10243" width="8.42578125" style="4" customWidth="1"/>
    <col min="10244" max="10244" width="7.85546875" style="4" customWidth="1"/>
    <col min="10245" max="10245" width="0" style="4" hidden="1" customWidth="1"/>
    <col min="10246" max="10246" width="9.42578125" style="4" customWidth="1"/>
    <col min="10247" max="10247" width="14.42578125" style="4" customWidth="1"/>
    <col min="10248" max="10248" width="11.42578125" style="4"/>
    <col min="10249" max="10249" width="23.140625" style="4" customWidth="1"/>
    <col min="10250" max="10250" width="5.85546875" style="4" customWidth="1"/>
    <col min="10251" max="10251" width="13.5703125" style="4" bestFit="1" customWidth="1"/>
    <col min="10252" max="10252" width="14" style="4" customWidth="1"/>
    <col min="10253" max="10253" width="13.42578125" style="4" customWidth="1"/>
    <col min="10254" max="10496" width="11.42578125" style="4"/>
    <col min="10497" max="10497" width="5.42578125" style="4" customWidth="1"/>
    <col min="10498" max="10498" width="9.140625" style="4" customWidth="1"/>
    <col min="10499" max="10499" width="8.42578125" style="4" customWidth="1"/>
    <col min="10500" max="10500" width="7.85546875" style="4" customWidth="1"/>
    <col min="10501" max="10501" width="0" style="4" hidden="1" customWidth="1"/>
    <col min="10502" max="10502" width="9.42578125" style="4" customWidth="1"/>
    <col min="10503" max="10503" width="14.42578125" style="4" customWidth="1"/>
    <col min="10504" max="10504" width="11.42578125" style="4"/>
    <col min="10505" max="10505" width="23.140625" style="4" customWidth="1"/>
    <col min="10506" max="10506" width="5.85546875" style="4" customWidth="1"/>
    <col min="10507" max="10507" width="13.5703125" style="4" bestFit="1" customWidth="1"/>
    <col min="10508" max="10508" width="14" style="4" customWidth="1"/>
    <col min="10509" max="10509" width="13.42578125" style="4" customWidth="1"/>
    <col min="10510" max="10752" width="11.42578125" style="4"/>
    <col min="10753" max="10753" width="5.42578125" style="4" customWidth="1"/>
    <col min="10754" max="10754" width="9.140625" style="4" customWidth="1"/>
    <col min="10755" max="10755" width="8.42578125" style="4" customWidth="1"/>
    <col min="10756" max="10756" width="7.85546875" style="4" customWidth="1"/>
    <col min="10757" max="10757" width="0" style="4" hidden="1" customWidth="1"/>
    <col min="10758" max="10758" width="9.42578125" style="4" customWidth="1"/>
    <col min="10759" max="10759" width="14.42578125" style="4" customWidth="1"/>
    <col min="10760" max="10760" width="11.42578125" style="4"/>
    <col min="10761" max="10761" width="23.140625" style="4" customWidth="1"/>
    <col min="10762" max="10762" width="5.85546875" style="4" customWidth="1"/>
    <col min="10763" max="10763" width="13.5703125" style="4" bestFit="1" customWidth="1"/>
    <col min="10764" max="10764" width="14" style="4" customWidth="1"/>
    <col min="10765" max="10765" width="13.42578125" style="4" customWidth="1"/>
    <col min="10766" max="11008" width="11.42578125" style="4"/>
    <col min="11009" max="11009" width="5.42578125" style="4" customWidth="1"/>
    <col min="11010" max="11010" width="9.140625" style="4" customWidth="1"/>
    <col min="11011" max="11011" width="8.42578125" style="4" customWidth="1"/>
    <col min="11012" max="11012" width="7.85546875" style="4" customWidth="1"/>
    <col min="11013" max="11013" width="0" style="4" hidden="1" customWidth="1"/>
    <col min="11014" max="11014" width="9.42578125" style="4" customWidth="1"/>
    <col min="11015" max="11015" width="14.42578125" style="4" customWidth="1"/>
    <col min="11016" max="11016" width="11.42578125" style="4"/>
    <col min="11017" max="11017" width="23.140625" style="4" customWidth="1"/>
    <col min="11018" max="11018" width="5.85546875" style="4" customWidth="1"/>
    <col min="11019" max="11019" width="13.5703125" style="4" bestFit="1" customWidth="1"/>
    <col min="11020" max="11020" width="14" style="4" customWidth="1"/>
    <col min="11021" max="11021" width="13.42578125" style="4" customWidth="1"/>
    <col min="11022" max="11264" width="11.42578125" style="4"/>
    <col min="11265" max="11265" width="5.42578125" style="4" customWidth="1"/>
    <col min="11266" max="11266" width="9.140625" style="4" customWidth="1"/>
    <col min="11267" max="11267" width="8.42578125" style="4" customWidth="1"/>
    <col min="11268" max="11268" width="7.85546875" style="4" customWidth="1"/>
    <col min="11269" max="11269" width="0" style="4" hidden="1" customWidth="1"/>
    <col min="11270" max="11270" width="9.42578125" style="4" customWidth="1"/>
    <col min="11271" max="11271" width="14.42578125" style="4" customWidth="1"/>
    <col min="11272" max="11272" width="11.42578125" style="4"/>
    <col min="11273" max="11273" width="23.140625" style="4" customWidth="1"/>
    <col min="11274" max="11274" width="5.85546875" style="4" customWidth="1"/>
    <col min="11275" max="11275" width="13.5703125" style="4" bestFit="1" customWidth="1"/>
    <col min="11276" max="11276" width="14" style="4" customWidth="1"/>
    <col min="11277" max="11277" width="13.42578125" style="4" customWidth="1"/>
    <col min="11278" max="11520" width="11.42578125" style="4"/>
    <col min="11521" max="11521" width="5.42578125" style="4" customWidth="1"/>
    <col min="11522" max="11522" width="9.140625" style="4" customWidth="1"/>
    <col min="11523" max="11523" width="8.42578125" style="4" customWidth="1"/>
    <col min="11524" max="11524" width="7.85546875" style="4" customWidth="1"/>
    <col min="11525" max="11525" width="0" style="4" hidden="1" customWidth="1"/>
    <col min="11526" max="11526" width="9.42578125" style="4" customWidth="1"/>
    <col min="11527" max="11527" width="14.42578125" style="4" customWidth="1"/>
    <col min="11528" max="11528" width="11.42578125" style="4"/>
    <col min="11529" max="11529" width="23.140625" style="4" customWidth="1"/>
    <col min="11530" max="11530" width="5.85546875" style="4" customWidth="1"/>
    <col min="11531" max="11531" width="13.5703125" style="4" bestFit="1" customWidth="1"/>
    <col min="11532" max="11532" width="14" style="4" customWidth="1"/>
    <col min="11533" max="11533" width="13.42578125" style="4" customWidth="1"/>
    <col min="11534" max="11776" width="11.42578125" style="4"/>
    <col min="11777" max="11777" width="5.42578125" style="4" customWidth="1"/>
    <col min="11778" max="11778" width="9.140625" style="4" customWidth="1"/>
    <col min="11779" max="11779" width="8.42578125" style="4" customWidth="1"/>
    <col min="11780" max="11780" width="7.85546875" style="4" customWidth="1"/>
    <col min="11781" max="11781" width="0" style="4" hidden="1" customWidth="1"/>
    <col min="11782" max="11782" width="9.42578125" style="4" customWidth="1"/>
    <col min="11783" max="11783" width="14.42578125" style="4" customWidth="1"/>
    <col min="11784" max="11784" width="11.42578125" style="4"/>
    <col min="11785" max="11785" width="23.140625" style="4" customWidth="1"/>
    <col min="11786" max="11786" width="5.85546875" style="4" customWidth="1"/>
    <col min="11787" max="11787" width="13.5703125" style="4" bestFit="1" customWidth="1"/>
    <col min="11788" max="11788" width="14" style="4" customWidth="1"/>
    <col min="11789" max="11789" width="13.42578125" style="4" customWidth="1"/>
    <col min="11790" max="12032" width="11.42578125" style="4"/>
    <col min="12033" max="12033" width="5.42578125" style="4" customWidth="1"/>
    <col min="12034" max="12034" width="9.140625" style="4" customWidth="1"/>
    <col min="12035" max="12035" width="8.42578125" style="4" customWidth="1"/>
    <col min="12036" max="12036" width="7.85546875" style="4" customWidth="1"/>
    <col min="12037" max="12037" width="0" style="4" hidden="1" customWidth="1"/>
    <col min="12038" max="12038" width="9.42578125" style="4" customWidth="1"/>
    <col min="12039" max="12039" width="14.42578125" style="4" customWidth="1"/>
    <col min="12040" max="12040" width="11.42578125" style="4"/>
    <col min="12041" max="12041" width="23.140625" style="4" customWidth="1"/>
    <col min="12042" max="12042" width="5.85546875" style="4" customWidth="1"/>
    <col min="12043" max="12043" width="13.5703125" style="4" bestFit="1" customWidth="1"/>
    <col min="12044" max="12044" width="14" style="4" customWidth="1"/>
    <col min="12045" max="12045" width="13.42578125" style="4" customWidth="1"/>
    <col min="12046" max="12288" width="11.42578125" style="4"/>
    <col min="12289" max="12289" width="5.42578125" style="4" customWidth="1"/>
    <col min="12290" max="12290" width="9.140625" style="4" customWidth="1"/>
    <col min="12291" max="12291" width="8.42578125" style="4" customWidth="1"/>
    <col min="12292" max="12292" width="7.85546875" style="4" customWidth="1"/>
    <col min="12293" max="12293" width="0" style="4" hidden="1" customWidth="1"/>
    <col min="12294" max="12294" width="9.42578125" style="4" customWidth="1"/>
    <col min="12295" max="12295" width="14.42578125" style="4" customWidth="1"/>
    <col min="12296" max="12296" width="11.42578125" style="4"/>
    <col min="12297" max="12297" width="23.140625" style="4" customWidth="1"/>
    <col min="12298" max="12298" width="5.85546875" style="4" customWidth="1"/>
    <col min="12299" max="12299" width="13.5703125" style="4" bestFit="1" customWidth="1"/>
    <col min="12300" max="12300" width="14" style="4" customWidth="1"/>
    <col min="12301" max="12301" width="13.42578125" style="4" customWidth="1"/>
    <col min="12302" max="12544" width="11.42578125" style="4"/>
    <col min="12545" max="12545" width="5.42578125" style="4" customWidth="1"/>
    <col min="12546" max="12546" width="9.140625" style="4" customWidth="1"/>
    <col min="12547" max="12547" width="8.42578125" style="4" customWidth="1"/>
    <col min="12548" max="12548" width="7.85546875" style="4" customWidth="1"/>
    <col min="12549" max="12549" width="0" style="4" hidden="1" customWidth="1"/>
    <col min="12550" max="12550" width="9.42578125" style="4" customWidth="1"/>
    <col min="12551" max="12551" width="14.42578125" style="4" customWidth="1"/>
    <col min="12552" max="12552" width="11.42578125" style="4"/>
    <col min="12553" max="12553" width="23.140625" style="4" customWidth="1"/>
    <col min="12554" max="12554" width="5.85546875" style="4" customWidth="1"/>
    <col min="12555" max="12555" width="13.5703125" style="4" bestFit="1" customWidth="1"/>
    <col min="12556" max="12556" width="14" style="4" customWidth="1"/>
    <col min="12557" max="12557" width="13.42578125" style="4" customWidth="1"/>
    <col min="12558" max="12800" width="11.42578125" style="4"/>
    <col min="12801" max="12801" width="5.42578125" style="4" customWidth="1"/>
    <col min="12802" max="12802" width="9.140625" style="4" customWidth="1"/>
    <col min="12803" max="12803" width="8.42578125" style="4" customWidth="1"/>
    <col min="12804" max="12804" width="7.85546875" style="4" customWidth="1"/>
    <col min="12805" max="12805" width="0" style="4" hidden="1" customWidth="1"/>
    <col min="12806" max="12806" width="9.42578125" style="4" customWidth="1"/>
    <col min="12807" max="12807" width="14.42578125" style="4" customWidth="1"/>
    <col min="12808" max="12808" width="11.42578125" style="4"/>
    <col min="12809" max="12809" width="23.140625" style="4" customWidth="1"/>
    <col min="12810" max="12810" width="5.85546875" style="4" customWidth="1"/>
    <col min="12811" max="12811" width="13.5703125" style="4" bestFit="1" customWidth="1"/>
    <col min="12812" max="12812" width="14" style="4" customWidth="1"/>
    <col min="12813" max="12813" width="13.42578125" style="4" customWidth="1"/>
    <col min="12814" max="13056" width="11.42578125" style="4"/>
    <col min="13057" max="13057" width="5.42578125" style="4" customWidth="1"/>
    <col min="13058" max="13058" width="9.140625" style="4" customWidth="1"/>
    <col min="13059" max="13059" width="8.42578125" style="4" customWidth="1"/>
    <col min="13060" max="13060" width="7.85546875" style="4" customWidth="1"/>
    <col min="13061" max="13061" width="0" style="4" hidden="1" customWidth="1"/>
    <col min="13062" max="13062" width="9.42578125" style="4" customWidth="1"/>
    <col min="13063" max="13063" width="14.42578125" style="4" customWidth="1"/>
    <col min="13064" max="13064" width="11.42578125" style="4"/>
    <col min="13065" max="13065" width="23.140625" style="4" customWidth="1"/>
    <col min="13066" max="13066" width="5.85546875" style="4" customWidth="1"/>
    <col min="13067" max="13067" width="13.5703125" style="4" bestFit="1" customWidth="1"/>
    <col min="13068" max="13068" width="14" style="4" customWidth="1"/>
    <col min="13069" max="13069" width="13.42578125" style="4" customWidth="1"/>
    <col min="13070" max="13312" width="11.42578125" style="4"/>
    <col min="13313" max="13313" width="5.42578125" style="4" customWidth="1"/>
    <col min="13314" max="13314" width="9.140625" style="4" customWidth="1"/>
    <col min="13315" max="13315" width="8.42578125" style="4" customWidth="1"/>
    <col min="13316" max="13316" width="7.85546875" style="4" customWidth="1"/>
    <col min="13317" max="13317" width="0" style="4" hidden="1" customWidth="1"/>
    <col min="13318" max="13318" width="9.42578125" style="4" customWidth="1"/>
    <col min="13319" max="13319" width="14.42578125" style="4" customWidth="1"/>
    <col min="13320" max="13320" width="11.42578125" style="4"/>
    <col min="13321" max="13321" width="23.140625" style="4" customWidth="1"/>
    <col min="13322" max="13322" width="5.85546875" style="4" customWidth="1"/>
    <col min="13323" max="13323" width="13.5703125" style="4" bestFit="1" customWidth="1"/>
    <col min="13324" max="13324" width="14" style="4" customWidth="1"/>
    <col min="13325" max="13325" width="13.42578125" style="4" customWidth="1"/>
    <col min="13326" max="13568" width="11.42578125" style="4"/>
    <col min="13569" max="13569" width="5.42578125" style="4" customWidth="1"/>
    <col min="13570" max="13570" width="9.140625" style="4" customWidth="1"/>
    <col min="13571" max="13571" width="8.42578125" style="4" customWidth="1"/>
    <col min="13572" max="13572" width="7.85546875" style="4" customWidth="1"/>
    <col min="13573" max="13573" width="0" style="4" hidden="1" customWidth="1"/>
    <col min="13574" max="13574" width="9.42578125" style="4" customWidth="1"/>
    <col min="13575" max="13575" width="14.42578125" style="4" customWidth="1"/>
    <col min="13576" max="13576" width="11.42578125" style="4"/>
    <col min="13577" max="13577" width="23.140625" style="4" customWidth="1"/>
    <col min="13578" max="13578" width="5.85546875" style="4" customWidth="1"/>
    <col min="13579" max="13579" width="13.5703125" style="4" bestFit="1" customWidth="1"/>
    <col min="13580" max="13580" width="14" style="4" customWidth="1"/>
    <col min="13581" max="13581" width="13.42578125" style="4" customWidth="1"/>
    <col min="13582" max="13824" width="11.42578125" style="4"/>
    <col min="13825" max="13825" width="5.42578125" style="4" customWidth="1"/>
    <col min="13826" max="13826" width="9.140625" style="4" customWidth="1"/>
    <col min="13827" max="13827" width="8.42578125" style="4" customWidth="1"/>
    <col min="13828" max="13828" width="7.85546875" style="4" customWidth="1"/>
    <col min="13829" max="13829" width="0" style="4" hidden="1" customWidth="1"/>
    <col min="13830" max="13830" width="9.42578125" style="4" customWidth="1"/>
    <col min="13831" max="13831" width="14.42578125" style="4" customWidth="1"/>
    <col min="13832" max="13832" width="11.42578125" style="4"/>
    <col min="13833" max="13833" width="23.140625" style="4" customWidth="1"/>
    <col min="13834" max="13834" width="5.85546875" style="4" customWidth="1"/>
    <col min="13835" max="13835" width="13.5703125" style="4" bestFit="1" customWidth="1"/>
    <col min="13836" max="13836" width="14" style="4" customWidth="1"/>
    <col min="13837" max="13837" width="13.42578125" style="4" customWidth="1"/>
    <col min="13838" max="14080" width="11.42578125" style="4"/>
    <col min="14081" max="14081" width="5.42578125" style="4" customWidth="1"/>
    <col min="14082" max="14082" width="9.140625" style="4" customWidth="1"/>
    <col min="14083" max="14083" width="8.42578125" style="4" customWidth="1"/>
    <col min="14084" max="14084" width="7.85546875" style="4" customWidth="1"/>
    <col min="14085" max="14085" width="0" style="4" hidden="1" customWidth="1"/>
    <col min="14086" max="14086" width="9.42578125" style="4" customWidth="1"/>
    <col min="14087" max="14087" width="14.42578125" style="4" customWidth="1"/>
    <col min="14088" max="14088" width="11.42578125" style="4"/>
    <col min="14089" max="14089" width="23.140625" style="4" customWidth="1"/>
    <col min="14090" max="14090" width="5.85546875" style="4" customWidth="1"/>
    <col min="14091" max="14091" width="13.5703125" style="4" bestFit="1" customWidth="1"/>
    <col min="14092" max="14092" width="14" style="4" customWidth="1"/>
    <col min="14093" max="14093" width="13.42578125" style="4" customWidth="1"/>
    <col min="14094" max="14336" width="11.42578125" style="4"/>
    <col min="14337" max="14337" width="5.42578125" style="4" customWidth="1"/>
    <col min="14338" max="14338" width="9.140625" style="4" customWidth="1"/>
    <col min="14339" max="14339" width="8.42578125" style="4" customWidth="1"/>
    <col min="14340" max="14340" width="7.85546875" style="4" customWidth="1"/>
    <col min="14341" max="14341" width="0" style="4" hidden="1" customWidth="1"/>
    <col min="14342" max="14342" width="9.42578125" style="4" customWidth="1"/>
    <col min="14343" max="14343" width="14.42578125" style="4" customWidth="1"/>
    <col min="14344" max="14344" width="11.42578125" style="4"/>
    <col min="14345" max="14345" width="23.140625" style="4" customWidth="1"/>
    <col min="14346" max="14346" width="5.85546875" style="4" customWidth="1"/>
    <col min="14347" max="14347" width="13.5703125" style="4" bestFit="1" customWidth="1"/>
    <col min="14348" max="14348" width="14" style="4" customWidth="1"/>
    <col min="14349" max="14349" width="13.42578125" style="4" customWidth="1"/>
    <col min="14350" max="14592" width="11.42578125" style="4"/>
    <col min="14593" max="14593" width="5.42578125" style="4" customWidth="1"/>
    <col min="14594" max="14594" width="9.140625" style="4" customWidth="1"/>
    <col min="14595" max="14595" width="8.42578125" style="4" customWidth="1"/>
    <col min="14596" max="14596" width="7.85546875" style="4" customWidth="1"/>
    <col min="14597" max="14597" width="0" style="4" hidden="1" customWidth="1"/>
    <col min="14598" max="14598" width="9.42578125" style="4" customWidth="1"/>
    <col min="14599" max="14599" width="14.42578125" style="4" customWidth="1"/>
    <col min="14600" max="14600" width="11.42578125" style="4"/>
    <col min="14601" max="14601" width="23.140625" style="4" customWidth="1"/>
    <col min="14602" max="14602" width="5.85546875" style="4" customWidth="1"/>
    <col min="14603" max="14603" width="13.5703125" style="4" bestFit="1" customWidth="1"/>
    <col min="14604" max="14604" width="14" style="4" customWidth="1"/>
    <col min="14605" max="14605" width="13.42578125" style="4" customWidth="1"/>
    <col min="14606" max="14848" width="11.42578125" style="4"/>
    <col min="14849" max="14849" width="5.42578125" style="4" customWidth="1"/>
    <col min="14850" max="14850" width="9.140625" style="4" customWidth="1"/>
    <col min="14851" max="14851" width="8.42578125" style="4" customWidth="1"/>
    <col min="14852" max="14852" width="7.85546875" style="4" customWidth="1"/>
    <col min="14853" max="14853" width="0" style="4" hidden="1" customWidth="1"/>
    <col min="14854" max="14854" width="9.42578125" style="4" customWidth="1"/>
    <col min="14855" max="14855" width="14.42578125" style="4" customWidth="1"/>
    <col min="14856" max="14856" width="11.42578125" style="4"/>
    <col min="14857" max="14857" width="23.140625" style="4" customWidth="1"/>
    <col min="14858" max="14858" width="5.85546875" style="4" customWidth="1"/>
    <col min="14859" max="14859" width="13.5703125" style="4" bestFit="1" customWidth="1"/>
    <col min="14860" max="14860" width="14" style="4" customWidth="1"/>
    <col min="14861" max="14861" width="13.42578125" style="4" customWidth="1"/>
    <col min="14862" max="15104" width="11.42578125" style="4"/>
    <col min="15105" max="15105" width="5.42578125" style="4" customWidth="1"/>
    <col min="15106" max="15106" width="9.140625" style="4" customWidth="1"/>
    <col min="15107" max="15107" width="8.42578125" style="4" customWidth="1"/>
    <col min="15108" max="15108" width="7.85546875" style="4" customWidth="1"/>
    <col min="15109" max="15109" width="0" style="4" hidden="1" customWidth="1"/>
    <col min="15110" max="15110" width="9.42578125" style="4" customWidth="1"/>
    <col min="15111" max="15111" width="14.42578125" style="4" customWidth="1"/>
    <col min="15112" max="15112" width="11.42578125" style="4"/>
    <col min="15113" max="15113" width="23.140625" style="4" customWidth="1"/>
    <col min="15114" max="15114" width="5.85546875" style="4" customWidth="1"/>
    <col min="15115" max="15115" width="13.5703125" style="4" bestFit="1" customWidth="1"/>
    <col min="15116" max="15116" width="14" style="4" customWidth="1"/>
    <col min="15117" max="15117" width="13.42578125" style="4" customWidth="1"/>
    <col min="15118" max="15360" width="11.42578125" style="4"/>
    <col min="15361" max="15361" width="5.42578125" style="4" customWidth="1"/>
    <col min="15362" max="15362" width="9.140625" style="4" customWidth="1"/>
    <col min="15363" max="15363" width="8.42578125" style="4" customWidth="1"/>
    <col min="15364" max="15364" width="7.85546875" style="4" customWidth="1"/>
    <col min="15365" max="15365" width="0" style="4" hidden="1" customWidth="1"/>
    <col min="15366" max="15366" width="9.42578125" style="4" customWidth="1"/>
    <col min="15367" max="15367" width="14.42578125" style="4" customWidth="1"/>
    <col min="15368" max="15368" width="11.42578125" style="4"/>
    <col min="15369" max="15369" width="23.140625" style="4" customWidth="1"/>
    <col min="15370" max="15370" width="5.85546875" style="4" customWidth="1"/>
    <col min="15371" max="15371" width="13.5703125" style="4" bestFit="1" customWidth="1"/>
    <col min="15372" max="15372" width="14" style="4" customWidth="1"/>
    <col min="15373" max="15373" width="13.42578125" style="4" customWidth="1"/>
    <col min="15374" max="15616" width="11.42578125" style="4"/>
    <col min="15617" max="15617" width="5.42578125" style="4" customWidth="1"/>
    <col min="15618" max="15618" width="9.140625" style="4" customWidth="1"/>
    <col min="15619" max="15619" width="8.42578125" style="4" customWidth="1"/>
    <col min="15620" max="15620" width="7.85546875" style="4" customWidth="1"/>
    <col min="15621" max="15621" width="0" style="4" hidden="1" customWidth="1"/>
    <col min="15622" max="15622" width="9.42578125" style="4" customWidth="1"/>
    <col min="15623" max="15623" width="14.42578125" style="4" customWidth="1"/>
    <col min="15624" max="15624" width="11.42578125" style="4"/>
    <col min="15625" max="15625" width="23.140625" style="4" customWidth="1"/>
    <col min="15626" max="15626" width="5.85546875" style="4" customWidth="1"/>
    <col min="15627" max="15627" width="13.5703125" style="4" bestFit="1" customWidth="1"/>
    <col min="15628" max="15628" width="14" style="4" customWidth="1"/>
    <col min="15629" max="15629" width="13.42578125" style="4" customWidth="1"/>
    <col min="15630" max="15872" width="11.42578125" style="4"/>
    <col min="15873" max="15873" width="5.42578125" style="4" customWidth="1"/>
    <col min="15874" max="15874" width="9.140625" style="4" customWidth="1"/>
    <col min="15875" max="15875" width="8.42578125" style="4" customWidth="1"/>
    <col min="15876" max="15876" width="7.85546875" style="4" customWidth="1"/>
    <col min="15877" max="15877" width="0" style="4" hidden="1" customWidth="1"/>
    <col min="15878" max="15878" width="9.42578125" style="4" customWidth="1"/>
    <col min="15879" max="15879" width="14.42578125" style="4" customWidth="1"/>
    <col min="15880" max="15880" width="11.42578125" style="4"/>
    <col min="15881" max="15881" width="23.140625" style="4" customWidth="1"/>
    <col min="15882" max="15882" width="5.85546875" style="4" customWidth="1"/>
    <col min="15883" max="15883" width="13.5703125" style="4" bestFit="1" customWidth="1"/>
    <col min="15884" max="15884" width="14" style="4" customWidth="1"/>
    <col min="15885" max="15885" width="13.42578125" style="4" customWidth="1"/>
    <col min="15886" max="16128" width="11.42578125" style="4"/>
    <col min="16129" max="16129" width="5.42578125" style="4" customWidth="1"/>
    <col min="16130" max="16130" width="9.140625" style="4" customWidth="1"/>
    <col min="16131" max="16131" width="8.42578125" style="4" customWidth="1"/>
    <col min="16132" max="16132" width="7.85546875" style="4" customWidth="1"/>
    <col min="16133" max="16133" width="0" style="4" hidden="1" customWidth="1"/>
    <col min="16134" max="16134" width="9.42578125" style="4" customWidth="1"/>
    <col min="16135" max="16135" width="14.42578125" style="4" customWidth="1"/>
    <col min="16136" max="16136" width="11.42578125" style="4"/>
    <col min="16137" max="16137" width="23.140625" style="4" customWidth="1"/>
    <col min="16138" max="16138" width="5.85546875" style="4" customWidth="1"/>
    <col min="16139" max="16139" width="13.5703125" style="4" bestFit="1" customWidth="1"/>
    <col min="16140" max="16140" width="14" style="4" customWidth="1"/>
    <col min="16141" max="16141" width="13.42578125" style="4" customWidth="1"/>
    <col min="16142" max="16384" width="11.42578125" style="4"/>
  </cols>
  <sheetData>
    <row r="1" spans="1:15" ht="12.6" customHeight="1">
      <c r="A1" s="387" t="s">
        <v>38</v>
      </c>
      <c r="B1" s="387"/>
      <c r="C1" s="387"/>
      <c r="D1" s="387"/>
      <c r="E1" s="387"/>
      <c r="F1" s="387"/>
      <c r="G1" s="387"/>
      <c r="H1" s="387"/>
      <c r="I1" s="387"/>
      <c r="J1" s="387"/>
      <c r="K1" s="387"/>
      <c r="L1" s="387"/>
      <c r="M1" s="387"/>
      <c r="N1" s="387"/>
    </row>
    <row r="2" spans="1:15" s="26" customFormat="1" ht="9.6" customHeight="1">
      <c r="A2" s="388" t="s">
        <v>39</v>
      </c>
      <c r="B2" s="388"/>
      <c r="C2" s="388"/>
      <c r="D2" s="388"/>
      <c r="E2" s="388"/>
      <c r="F2" s="388"/>
      <c r="G2" s="388"/>
      <c r="H2" s="388"/>
      <c r="I2" s="388"/>
      <c r="J2" s="388"/>
      <c r="K2" s="388"/>
      <c r="L2" s="388"/>
      <c r="M2" s="388"/>
      <c r="N2" s="388"/>
    </row>
    <row r="3" spans="1:15" ht="12.6" customHeight="1">
      <c r="A3" s="389" t="s">
        <v>40</v>
      </c>
      <c r="B3" s="389"/>
      <c r="C3" s="389"/>
      <c r="D3" s="389"/>
      <c r="E3" s="389"/>
      <c r="F3" s="389"/>
      <c r="G3" s="389"/>
      <c r="H3" s="389"/>
      <c r="I3" s="389"/>
      <c r="J3" s="389"/>
      <c r="K3" s="389"/>
      <c r="L3" s="389"/>
      <c r="M3" s="389"/>
      <c r="N3" s="389"/>
    </row>
    <row r="4" spans="1:15" ht="12.6" customHeight="1">
      <c r="A4" s="389" t="s">
        <v>41</v>
      </c>
      <c r="B4" s="389"/>
      <c r="C4" s="389"/>
      <c r="D4" s="389"/>
      <c r="E4" s="389"/>
      <c r="F4" s="389"/>
      <c r="G4" s="389"/>
      <c r="H4" s="389"/>
      <c r="I4" s="389"/>
      <c r="J4" s="389"/>
      <c r="K4" s="389"/>
      <c r="L4" s="389"/>
      <c r="M4" s="389"/>
      <c r="N4" s="389"/>
    </row>
    <row r="5" spans="1:15" ht="12.6" customHeight="1">
      <c r="B5" s="4" t="s">
        <v>68</v>
      </c>
      <c r="J5" s="390" t="s">
        <v>109</v>
      </c>
      <c r="K5" s="390"/>
      <c r="L5" s="390"/>
      <c r="M5" s="390"/>
      <c r="N5" s="390"/>
    </row>
    <row r="6" spans="1:15" ht="12.6" customHeight="1">
      <c r="B6" s="4" t="s">
        <v>108</v>
      </c>
      <c r="J6" s="390"/>
      <c r="K6" s="390"/>
      <c r="L6" s="390"/>
      <c r="M6" s="390"/>
      <c r="N6" s="390"/>
    </row>
    <row r="7" spans="1:15" ht="12.6" customHeight="1">
      <c r="B7" s="4" t="s">
        <v>42</v>
      </c>
      <c r="J7" s="390"/>
      <c r="K7" s="390"/>
      <c r="L7" s="390"/>
      <c r="M7" s="390"/>
      <c r="N7" s="390"/>
    </row>
    <row r="8" spans="1:15" ht="12.6" customHeight="1">
      <c r="J8" s="390"/>
      <c r="K8" s="390"/>
      <c r="L8" s="390"/>
      <c r="M8" s="390"/>
      <c r="N8" s="390"/>
    </row>
    <row r="9" spans="1:15" ht="12.6" customHeight="1">
      <c r="B9" s="4" t="s">
        <v>103</v>
      </c>
      <c r="J9" s="7" t="s">
        <v>104</v>
      </c>
      <c r="K9" s="8"/>
    </row>
    <row r="10" spans="1:15" ht="12.6" customHeight="1">
      <c r="J10" s="9" t="s">
        <v>43</v>
      </c>
      <c r="K10" s="9"/>
      <c r="L10" s="9" t="s">
        <v>102</v>
      </c>
    </row>
    <row r="11" spans="1:15" ht="12.6" customHeight="1">
      <c r="B11" s="9" t="s">
        <v>44</v>
      </c>
      <c r="G11" s="9" t="s">
        <v>45</v>
      </c>
    </row>
    <row r="12" spans="1:15" ht="106.15" customHeight="1">
      <c r="A12" s="21" t="s">
        <v>46</v>
      </c>
      <c r="B12" s="21" t="s">
        <v>15</v>
      </c>
      <c r="C12" s="21" t="s">
        <v>47</v>
      </c>
      <c r="D12" s="22" t="s">
        <v>48</v>
      </c>
      <c r="E12" s="23" t="s">
        <v>49</v>
      </c>
      <c r="F12" s="21" t="s">
        <v>50</v>
      </c>
      <c r="G12" s="22" t="s">
        <v>51</v>
      </c>
      <c r="H12" s="391" t="s">
        <v>52</v>
      </c>
      <c r="I12" s="391"/>
      <c r="J12" s="22" t="s">
        <v>53</v>
      </c>
      <c r="K12" s="22" t="s">
        <v>54</v>
      </c>
      <c r="L12" s="22" t="s">
        <v>55</v>
      </c>
      <c r="M12" s="22" t="s">
        <v>56</v>
      </c>
      <c r="N12" s="22" t="s">
        <v>57</v>
      </c>
    </row>
    <row r="13" spans="1:15">
      <c r="A13" s="2"/>
      <c r="B13" s="10"/>
      <c r="C13" s="2">
        <v>1</v>
      </c>
      <c r="D13" s="28">
        <v>2</v>
      </c>
      <c r="E13" s="11"/>
      <c r="F13" s="2">
        <v>3</v>
      </c>
      <c r="G13" s="2">
        <v>4</v>
      </c>
      <c r="H13" s="392">
        <v>5</v>
      </c>
      <c r="I13" s="392"/>
      <c r="J13" s="10">
        <v>6</v>
      </c>
      <c r="K13" s="28">
        <v>7</v>
      </c>
      <c r="L13" s="2">
        <v>8</v>
      </c>
      <c r="M13" s="2">
        <v>9</v>
      </c>
      <c r="N13" s="2">
        <v>10</v>
      </c>
    </row>
    <row r="14" spans="1:15" ht="19.899999999999999" customHeight="1">
      <c r="A14" s="2">
        <v>1</v>
      </c>
      <c r="B14" s="20"/>
      <c r="C14" s="2"/>
      <c r="D14" s="28"/>
      <c r="E14" s="11"/>
      <c r="F14" s="3"/>
      <c r="G14" s="3"/>
      <c r="H14" s="34"/>
      <c r="I14" s="33"/>
      <c r="J14" s="12"/>
      <c r="K14" s="3"/>
      <c r="L14" s="20"/>
      <c r="M14" s="13"/>
      <c r="N14" s="13"/>
      <c r="O14" s="14"/>
    </row>
    <row r="15" spans="1:15" ht="19.899999999999999" customHeight="1">
      <c r="A15" s="2">
        <f>+A14+1</f>
        <v>2</v>
      </c>
      <c r="B15" s="20"/>
      <c r="C15" s="2"/>
      <c r="D15" s="28"/>
      <c r="E15" s="11"/>
      <c r="F15" s="3"/>
      <c r="G15" s="3"/>
      <c r="H15" s="34"/>
      <c r="I15" s="33"/>
      <c r="J15" s="12"/>
      <c r="K15" s="3"/>
      <c r="L15" s="20"/>
      <c r="M15" s="25"/>
      <c r="N15" s="13"/>
      <c r="O15" s="14"/>
    </row>
    <row r="16" spans="1:15" ht="15">
      <c r="A16" s="2"/>
      <c r="B16" s="3"/>
      <c r="C16" s="2"/>
      <c r="D16" s="28"/>
      <c r="E16" s="11"/>
      <c r="F16" s="2"/>
      <c r="G16" s="3"/>
      <c r="H16" s="383" t="s">
        <v>58</v>
      </c>
      <c r="I16" s="384"/>
      <c r="J16" s="384"/>
      <c r="K16" s="385"/>
      <c r="L16" s="212">
        <f>SUM(L14:L15)</f>
        <v>0</v>
      </c>
      <c r="M16" s="15"/>
      <c r="N16" s="15"/>
    </row>
    <row r="17" spans="1:15" ht="15">
      <c r="A17" s="16"/>
      <c r="B17" s="17" t="s">
        <v>59</v>
      </c>
      <c r="C17" s="16"/>
      <c r="D17" s="16"/>
      <c r="E17" s="16"/>
      <c r="F17" s="16"/>
      <c r="G17" s="16"/>
      <c r="H17" s="16"/>
      <c r="I17" s="16"/>
      <c r="J17" s="16" t="s">
        <v>65</v>
      </c>
      <c r="K17" s="213">
        <f>L16</f>
        <v>0</v>
      </c>
      <c r="L17" s="16"/>
      <c r="M17" s="19"/>
      <c r="N17" s="16"/>
      <c r="O17" s="16"/>
    </row>
    <row r="18" spans="1:15" ht="15">
      <c r="A18" s="16"/>
      <c r="B18" s="17" t="s">
        <v>60</v>
      </c>
      <c r="C18" s="16"/>
      <c r="D18" s="16"/>
      <c r="E18" s="16"/>
      <c r="F18" s="16"/>
      <c r="G18" s="16"/>
      <c r="H18" s="16"/>
      <c r="I18" s="16"/>
      <c r="J18" s="16"/>
      <c r="K18" s="18">
        <v>0</v>
      </c>
      <c r="L18" s="16"/>
      <c r="M18" s="16"/>
      <c r="N18" s="16"/>
      <c r="O18" s="16"/>
    </row>
    <row r="19" spans="1:15" ht="15">
      <c r="A19" s="16"/>
      <c r="B19" s="17" t="s">
        <v>61</v>
      </c>
      <c r="C19" s="16"/>
      <c r="D19" s="16"/>
      <c r="E19" s="16"/>
      <c r="F19" s="16"/>
      <c r="G19" s="16"/>
      <c r="H19" s="16"/>
      <c r="I19" s="16"/>
      <c r="J19" s="16"/>
      <c r="K19" s="214">
        <f>K17-K18</f>
        <v>0</v>
      </c>
      <c r="L19" s="16" t="s">
        <v>110</v>
      </c>
      <c r="M19" s="16"/>
      <c r="N19" s="16"/>
      <c r="O19" s="16"/>
    </row>
    <row r="20" spans="1:15" ht="15">
      <c r="A20" s="16"/>
      <c r="H20" s="9" t="s">
        <v>105</v>
      </c>
      <c r="O20" s="16"/>
    </row>
    <row r="21" spans="1:15" ht="58.15" customHeight="1">
      <c r="A21" s="16"/>
      <c r="B21" s="386" t="s">
        <v>64</v>
      </c>
      <c r="C21" s="386"/>
      <c r="D21" s="386"/>
      <c r="E21" s="386"/>
      <c r="F21" s="386"/>
      <c r="G21" s="386"/>
      <c r="H21" s="386"/>
      <c r="I21" s="386"/>
      <c r="J21" s="386"/>
      <c r="K21" s="386"/>
      <c r="L21" s="386"/>
      <c r="M21" s="386"/>
      <c r="N21" s="386"/>
      <c r="O21" s="16"/>
    </row>
    <row r="22" spans="1:15">
      <c r="A22" s="16"/>
      <c r="B22" s="17"/>
      <c r="C22" s="16"/>
      <c r="D22" s="16"/>
      <c r="E22" s="16"/>
      <c r="F22" s="16"/>
      <c r="G22" s="16"/>
      <c r="H22" s="16"/>
      <c r="I22" s="16"/>
      <c r="J22" s="16"/>
      <c r="K22" s="16"/>
      <c r="L22" s="16"/>
      <c r="M22" s="16"/>
      <c r="N22" s="16"/>
      <c r="O22" s="16"/>
    </row>
    <row r="23" spans="1:15">
      <c r="A23" s="16"/>
      <c r="B23" s="17"/>
      <c r="C23" s="16"/>
      <c r="D23" s="16"/>
      <c r="E23" s="16"/>
      <c r="F23" s="16"/>
      <c r="G23" s="16"/>
      <c r="H23" s="16"/>
      <c r="I23" s="16"/>
      <c r="J23" s="16"/>
      <c r="K23" s="16"/>
      <c r="L23" s="16"/>
      <c r="M23" s="16"/>
      <c r="N23" s="16"/>
      <c r="O23" s="16"/>
    </row>
    <row r="24" spans="1:15">
      <c r="A24" s="16"/>
      <c r="B24" s="16"/>
      <c r="C24" s="16"/>
      <c r="D24" s="16"/>
      <c r="E24" s="16"/>
      <c r="F24" s="16"/>
      <c r="G24" s="16"/>
      <c r="H24" s="16"/>
      <c r="I24" s="16"/>
      <c r="J24" s="16"/>
      <c r="K24" s="16"/>
      <c r="L24" s="16"/>
      <c r="M24" s="16"/>
      <c r="N24" s="16"/>
      <c r="O24" s="16"/>
    </row>
    <row r="25" spans="1:15" ht="13.9" customHeight="1">
      <c r="A25" s="24" t="s">
        <v>62</v>
      </c>
      <c r="C25" s="24"/>
      <c r="D25" s="24"/>
      <c r="E25" s="29"/>
      <c r="F25" s="16"/>
      <c r="G25" s="381" t="s">
        <v>63</v>
      </c>
      <c r="H25" s="381"/>
      <c r="I25" s="381"/>
      <c r="J25" s="16" t="s">
        <v>66</v>
      </c>
      <c r="K25" s="382" t="s">
        <v>67</v>
      </c>
      <c r="L25" s="382"/>
      <c r="M25" s="382"/>
      <c r="N25" s="382"/>
      <c r="O25" s="16"/>
    </row>
    <row r="26" spans="1:15">
      <c r="A26" s="16"/>
      <c r="B26" s="16"/>
      <c r="C26" s="16"/>
      <c r="D26" s="16"/>
      <c r="E26" s="16"/>
      <c r="F26" s="16"/>
      <c r="G26" s="16"/>
      <c r="H26" s="16"/>
      <c r="I26" s="16"/>
      <c r="J26" s="16"/>
      <c r="K26" s="16"/>
      <c r="L26" s="16"/>
      <c r="M26" s="16"/>
      <c r="N26" s="16"/>
      <c r="O26" s="16"/>
    </row>
  </sheetData>
  <mergeCells count="11">
    <mergeCell ref="G25:I25"/>
    <mergeCell ref="K25:N25"/>
    <mergeCell ref="H16:K16"/>
    <mergeCell ref="B21:N21"/>
    <mergeCell ref="A1:N1"/>
    <mergeCell ref="A2:N2"/>
    <mergeCell ref="A3:N3"/>
    <mergeCell ref="A4:N4"/>
    <mergeCell ref="J5:N8"/>
    <mergeCell ref="H12:I12"/>
    <mergeCell ref="H13:I13"/>
  </mergeCells>
  <printOptions horizontalCentered="1"/>
  <pageMargins left="0" right="0.05" top="0.67" bottom="0.57999999999999996" header="0.2" footer="0.35"/>
  <pageSetup paperSize="9" scale="80" firstPageNumber="4" orientation="landscape" useFirstPageNumber="1" r:id="rId1"/>
  <headerFooter alignWithMargins="0">
    <oddFooter>&amp;C  Page &amp;P of MB 1042</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86"/>
  <sheetViews>
    <sheetView view="pageBreakPreview" zoomScaleSheetLayoutView="100" zoomScalePageLayoutView="60" workbookViewId="0">
      <selection activeCell="A8" sqref="A8"/>
    </sheetView>
  </sheetViews>
  <sheetFormatPr defaultColWidth="8.85546875" defaultRowHeight="15"/>
  <cols>
    <col min="1" max="1" width="10.7109375" style="229" customWidth="1"/>
    <col min="2" max="2" width="5.28515625" style="229" customWidth="1"/>
    <col min="3" max="3" width="30.28515625" style="232" customWidth="1"/>
    <col min="4" max="4" width="10.28515625" style="231" customWidth="1"/>
    <col min="5" max="5" width="5.7109375" style="230" customWidth="1"/>
    <col min="6" max="6" width="9.7109375" style="230" customWidth="1"/>
    <col min="7" max="7" width="8.28515625" style="229" customWidth="1"/>
    <col min="8" max="8" width="11" style="229" customWidth="1"/>
    <col min="9" max="9" width="8.28515625" style="229" customWidth="1"/>
    <col min="10" max="10" width="8.42578125" style="229" customWidth="1"/>
    <col min="11" max="11" width="11.85546875" style="229" bestFit="1" customWidth="1"/>
    <col min="12" max="12" width="10.5703125" style="229" customWidth="1"/>
    <col min="13" max="13" width="9.28515625" style="229" customWidth="1"/>
    <col min="14" max="14" width="9.28515625" style="229" bestFit="1" customWidth="1"/>
    <col min="15" max="15" width="10.5703125" style="229" bestFit="1" customWidth="1"/>
    <col min="16" max="16384" width="8.85546875" style="229"/>
  </cols>
  <sheetData>
    <row r="1" spans="1:15" ht="22.15" customHeight="1">
      <c r="A1" s="393" t="s">
        <v>10</v>
      </c>
      <c r="B1" s="394"/>
      <c r="C1" s="395" t="s">
        <v>85</v>
      </c>
      <c r="D1" s="395"/>
      <c r="E1" s="395"/>
      <c r="F1" s="395"/>
      <c r="G1" s="395"/>
      <c r="H1" s="395"/>
      <c r="I1" s="395"/>
      <c r="J1" s="395"/>
      <c r="K1" s="395"/>
      <c r="L1" s="395"/>
      <c r="M1" s="395"/>
      <c r="N1" s="395"/>
      <c r="O1" s="395"/>
    </row>
    <row r="2" spans="1:15" ht="17.45" customHeight="1">
      <c r="A2" s="396" t="s">
        <v>94</v>
      </c>
      <c r="B2" s="397"/>
      <c r="C2" s="398" t="s">
        <v>88</v>
      </c>
      <c r="D2" s="398"/>
      <c r="E2" s="398"/>
      <c r="F2" s="398"/>
      <c r="G2" s="398"/>
      <c r="H2" s="398"/>
      <c r="I2" s="398"/>
      <c r="J2" s="398"/>
      <c r="K2" s="398"/>
      <c r="L2" s="398"/>
      <c r="M2" s="398"/>
      <c r="N2" s="398"/>
      <c r="O2" s="398"/>
    </row>
    <row r="3" spans="1:15" ht="30" customHeight="1">
      <c r="A3" s="396" t="s">
        <v>11</v>
      </c>
      <c r="B3" s="397"/>
      <c r="C3" s="399" t="s">
        <v>89</v>
      </c>
      <c r="D3" s="399"/>
      <c r="E3" s="399"/>
      <c r="F3" s="399"/>
      <c r="G3" s="399"/>
      <c r="H3" s="399"/>
      <c r="I3" s="399"/>
      <c r="J3" s="399"/>
      <c r="K3" s="399"/>
      <c r="L3" s="399"/>
      <c r="M3" s="399"/>
      <c r="N3" s="399"/>
      <c r="O3" s="399"/>
    </row>
    <row r="4" spans="1:15" ht="15" customHeight="1">
      <c r="A4" s="396" t="s">
        <v>12</v>
      </c>
      <c r="B4" s="397"/>
      <c r="C4" s="398" t="s">
        <v>90</v>
      </c>
      <c r="D4" s="398"/>
      <c r="E4" s="398"/>
      <c r="F4" s="398"/>
      <c r="G4" s="398"/>
      <c r="H4" s="398"/>
      <c r="I4" s="398"/>
      <c r="J4" s="398"/>
      <c r="K4" s="398"/>
      <c r="L4" s="398"/>
      <c r="M4" s="398"/>
      <c r="N4" s="398"/>
      <c r="O4" s="398"/>
    </row>
    <row r="5" spans="1:15" ht="16.899999999999999" customHeight="1">
      <c r="A5" s="396" t="s">
        <v>101</v>
      </c>
      <c r="B5" s="397"/>
      <c r="C5" s="398" t="s">
        <v>91</v>
      </c>
      <c r="D5" s="398"/>
      <c r="E5" s="398"/>
      <c r="F5" s="398"/>
      <c r="G5" s="398"/>
      <c r="H5" s="398"/>
      <c r="I5" s="398"/>
      <c r="J5" s="398"/>
      <c r="K5" s="398"/>
      <c r="L5" s="398"/>
      <c r="M5" s="398"/>
      <c r="N5" s="398"/>
      <c r="O5" s="398"/>
    </row>
    <row r="6" spans="1:15" ht="16.149999999999999" customHeight="1">
      <c r="A6" s="401" t="s">
        <v>14</v>
      </c>
      <c r="B6" s="399"/>
      <c r="C6" s="402" t="s">
        <v>118</v>
      </c>
      <c r="D6" s="403"/>
      <c r="E6" s="403"/>
      <c r="F6" s="403"/>
      <c r="G6" s="403"/>
      <c r="H6" s="403"/>
      <c r="I6" s="403"/>
      <c r="J6" s="403"/>
      <c r="K6" s="403"/>
      <c r="L6" s="403"/>
      <c r="M6" s="403"/>
      <c r="N6" s="403"/>
      <c r="O6" s="403"/>
    </row>
    <row r="7" spans="1:15" ht="20.100000000000001" customHeight="1">
      <c r="A7" s="237"/>
      <c r="B7" s="236"/>
      <c r="C7" s="400"/>
      <c r="D7" s="400"/>
      <c r="E7" s="400"/>
      <c r="F7" s="400"/>
      <c r="G7" s="400"/>
      <c r="H7" s="400"/>
      <c r="I7" s="400"/>
      <c r="J7" s="400"/>
      <c r="K7" s="400"/>
      <c r="L7" s="400"/>
      <c r="M7" s="236"/>
      <c r="N7" s="236"/>
      <c r="O7" s="236"/>
    </row>
    <row r="8" spans="1:15" ht="20.100000000000001" customHeight="1">
      <c r="A8" s="238"/>
      <c r="B8" s="233"/>
      <c r="C8" s="234"/>
      <c r="D8" s="235"/>
      <c r="E8" s="233"/>
      <c r="F8" s="233"/>
      <c r="G8" s="233"/>
      <c r="H8" s="233"/>
      <c r="I8" s="233"/>
      <c r="J8" s="233"/>
      <c r="K8" s="233"/>
      <c r="L8" s="233"/>
      <c r="M8" s="233"/>
      <c r="N8" s="233"/>
      <c r="O8" s="233"/>
    </row>
    <row r="9" spans="1:15" ht="20.100000000000001" customHeight="1">
      <c r="A9" s="238"/>
      <c r="B9" s="233"/>
      <c r="C9" s="234"/>
      <c r="D9" s="235"/>
      <c r="E9" s="233"/>
      <c r="F9" s="233"/>
      <c r="G9" s="233"/>
      <c r="H9" s="233"/>
      <c r="I9" s="233"/>
      <c r="J9" s="233"/>
      <c r="K9" s="233"/>
      <c r="L9" s="233"/>
      <c r="M9" s="233"/>
      <c r="N9" s="233"/>
      <c r="O9" s="233"/>
    </row>
    <row r="10" spans="1:15" ht="20.100000000000001" customHeight="1">
      <c r="A10" s="238"/>
      <c r="B10" s="233"/>
      <c r="C10" s="234"/>
      <c r="D10" s="235"/>
      <c r="E10" s="233"/>
      <c r="F10" s="233"/>
      <c r="G10" s="233"/>
      <c r="H10" s="233"/>
      <c r="I10" s="233"/>
      <c r="J10" s="233"/>
      <c r="K10" s="233"/>
      <c r="L10" s="233"/>
      <c r="M10" s="233"/>
      <c r="N10" s="233"/>
      <c r="O10" s="233"/>
    </row>
    <row r="11" spans="1:15" ht="20.100000000000001" customHeight="1">
      <c r="A11" s="238"/>
      <c r="B11" s="233"/>
      <c r="C11" s="234"/>
      <c r="D11" s="235"/>
      <c r="E11" s="233"/>
      <c r="F11" s="233"/>
      <c r="G11" s="233"/>
      <c r="H11" s="233"/>
      <c r="I11" s="233"/>
      <c r="J11" s="233"/>
      <c r="K11" s="233"/>
      <c r="L11" s="233"/>
      <c r="M11" s="233"/>
      <c r="N11" s="233"/>
      <c r="O11" s="233"/>
    </row>
    <row r="12" spans="1:15" ht="20.100000000000001" customHeight="1">
      <c r="A12" s="238"/>
      <c r="B12" s="233"/>
      <c r="C12" s="234"/>
      <c r="D12" s="235"/>
      <c r="E12" s="233"/>
      <c r="F12" s="233"/>
      <c r="G12" s="233"/>
      <c r="H12" s="233"/>
      <c r="I12" s="233"/>
      <c r="J12" s="233"/>
      <c r="K12" s="233"/>
      <c r="L12" s="233"/>
      <c r="M12" s="233"/>
      <c r="N12" s="233"/>
      <c r="O12" s="233"/>
    </row>
    <row r="13" spans="1:15" ht="20.100000000000001" customHeight="1">
      <c r="A13" s="238"/>
      <c r="B13" s="233"/>
      <c r="C13" s="234"/>
      <c r="D13" s="235"/>
      <c r="E13" s="233"/>
      <c r="F13" s="233"/>
      <c r="G13" s="233"/>
      <c r="H13" s="233"/>
      <c r="I13" s="233"/>
      <c r="J13" s="233"/>
      <c r="K13" s="233"/>
      <c r="L13" s="233"/>
      <c r="M13" s="233"/>
      <c r="N13" s="233"/>
      <c r="O13" s="233"/>
    </row>
    <row r="14" spans="1:15" ht="20.100000000000001" customHeight="1">
      <c r="A14" s="238"/>
      <c r="B14" s="233"/>
      <c r="C14" s="234"/>
      <c r="D14" s="235"/>
      <c r="E14" s="233"/>
      <c r="F14" s="233"/>
      <c r="G14" s="233"/>
      <c r="H14" s="233"/>
      <c r="I14" s="233"/>
      <c r="J14" s="233"/>
      <c r="K14" s="233"/>
      <c r="L14" s="233"/>
      <c r="M14" s="233"/>
      <c r="N14" s="233"/>
      <c r="O14" s="233"/>
    </row>
    <row r="15" spans="1:15" ht="20.100000000000001" customHeight="1">
      <c r="A15" s="238"/>
      <c r="B15" s="233"/>
      <c r="C15" s="234"/>
      <c r="D15" s="235"/>
      <c r="E15" s="233"/>
      <c r="F15" s="233"/>
      <c r="G15" s="233"/>
      <c r="H15" s="233"/>
      <c r="I15" s="233"/>
      <c r="J15" s="233"/>
      <c r="K15" s="233"/>
      <c r="L15" s="233"/>
      <c r="M15" s="233"/>
      <c r="N15" s="233"/>
      <c r="O15" s="233"/>
    </row>
    <row r="16" spans="1:15" ht="20.100000000000001" customHeight="1">
      <c r="A16" s="238"/>
      <c r="B16" s="233"/>
      <c r="C16" s="234"/>
      <c r="D16" s="235"/>
      <c r="E16" s="233"/>
      <c r="F16" s="233"/>
      <c r="G16" s="233"/>
      <c r="H16" s="233"/>
      <c r="I16" s="233"/>
      <c r="J16" s="233"/>
      <c r="K16" s="233"/>
      <c r="L16" s="233"/>
      <c r="M16" s="233"/>
      <c r="N16" s="233"/>
      <c r="O16" s="233"/>
    </row>
    <row r="17" spans="1:15" ht="20.100000000000001" customHeight="1">
      <c r="A17" s="238"/>
      <c r="B17" s="233"/>
      <c r="C17" s="234"/>
      <c r="D17" s="235"/>
      <c r="E17" s="233"/>
      <c r="F17" s="233"/>
      <c r="G17" s="233"/>
      <c r="H17" s="233"/>
      <c r="I17" s="233"/>
      <c r="J17" s="233"/>
      <c r="K17" s="233"/>
      <c r="L17" s="233"/>
      <c r="M17" s="233"/>
      <c r="N17" s="233"/>
      <c r="O17" s="233"/>
    </row>
    <row r="18" spans="1:15" ht="20.100000000000001" customHeight="1">
      <c r="A18" s="238"/>
      <c r="B18" s="233"/>
      <c r="C18" s="234"/>
      <c r="D18" s="235"/>
      <c r="E18" s="233"/>
      <c r="F18" s="233"/>
      <c r="G18" s="233"/>
      <c r="H18" s="233"/>
      <c r="I18" s="233"/>
      <c r="J18" s="233"/>
      <c r="K18" s="233"/>
      <c r="L18" s="233"/>
      <c r="M18" s="233"/>
      <c r="N18" s="233"/>
      <c r="O18" s="233"/>
    </row>
    <row r="19" spans="1:15" ht="20.100000000000001" customHeight="1">
      <c r="A19" s="238"/>
      <c r="B19" s="233"/>
      <c r="C19" s="234"/>
      <c r="D19" s="235"/>
      <c r="E19" s="233"/>
      <c r="F19" s="233"/>
      <c r="G19" s="233"/>
      <c r="H19" s="233"/>
      <c r="I19" s="233"/>
      <c r="J19" s="233"/>
      <c r="K19" s="233"/>
      <c r="L19" s="233"/>
      <c r="M19" s="233"/>
      <c r="N19" s="233"/>
      <c r="O19" s="233"/>
    </row>
    <row r="20" spans="1:15" ht="20.100000000000001" customHeight="1">
      <c r="A20" s="238"/>
      <c r="B20" s="233"/>
      <c r="C20" s="234"/>
      <c r="D20" s="235"/>
      <c r="E20" s="233"/>
      <c r="F20" s="233"/>
      <c r="G20" s="233"/>
      <c r="H20" s="233"/>
      <c r="I20" s="233"/>
      <c r="J20" s="233"/>
      <c r="K20" s="233"/>
      <c r="L20" s="233"/>
      <c r="M20" s="233"/>
      <c r="N20" s="233"/>
      <c r="O20" s="233"/>
    </row>
    <row r="21" spans="1:15" ht="20.100000000000001" customHeight="1">
      <c r="A21" s="238"/>
      <c r="B21" s="233"/>
      <c r="C21" s="234"/>
      <c r="D21" s="235"/>
      <c r="E21" s="233"/>
      <c r="F21" s="233"/>
      <c r="G21" s="233"/>
      <c r="H21" s="233"/>
      <c r="I21" s="233"/>
      <c r="J21" s="233"/>
      <c r="K21" s="233"/>
      <c r="L21" s="233"/>
      <c r="M21" s="233"/>
      <c r="N21" s="233"/>
      <c r="O21" s="233"/>
    </row>
    <row r="22" spans="1:15" ht="20.100000000000001" customHeight="1">
      <c r="A22" s="238"/>
      <c r="B22" s="233"/>
      <c r="C22" s="234"/>
      <c r="D22" s="235"/>
      <c r="E22" s="233"/>
      <c r="F22" s="233"/>
      <c r="G22" s="233"/>
      <c r="H22" s="233"/>
      <c r="I22" s="233"/>
      <c r="J22" s="233"/>
      <c r="K22" s="233"/>
      <c r="L22" s="233"/>
      <c r="M22" s="233"/>
      <c r="N22" s="233"/>
      <c r="O22" s="233"/>
    </row>
    <row r="23" spans="1:15" ht="20.100000000000001" customHeight="1">
      <c r="A23" s="238"/>
      <c r="B23" s="233"/>
      <c r="C23" s="234"/>
      <c r="D23" s="235"/>
      <c r="E23" s="233"/>
      <c r="F23" s="233"/>
      <c r="G23" s="233"/>
      <c r="H23" s="233"/>
      <c r="I23" s="233"/>
      <c r="J23" s="233"/>
      <c r="K23" s="233"/>
      <c r="L23" s="233"/>
      <c r="M23" s="233"/>
      <c r="N23" s="233"/>
      <c r="O23" s="233"/>
    </row>
    <row r="24" spans="1:15" ht="20.100000000000001" customHeight="1">
      <c r="A24" s="238"/>
      <c r="B24" s="233"/>
      <c r="C24" s="234"/>
      <c r="D24" s="235"/>
      <c r="E24" s="233"/>
      <c r="F24" s="233"/>
      <c r="G24" s="233"/>
      <c r="H24" s="233"/>
      <c r="I24" s="233"/>
      <c r="J24" s="233"/>
      <c r="K24" s="233"/>
      <c r="L24" s="233"/>
      <c r="M24" s="233"/>
      <c r="N24" s="233"/>
      <c r="O24" s="233"/>
    </row>
    <row r="25" spans="1:15" ht="20.100000000000001" customHeight="1">
      <c r="A25" s="238"/>
      <c r="B25" s="233"/>
      <c r="C25" s="234"/>
      <c r="D25" s="235"/>
      <c r="E25" s="233"/>
      <c r="F25" s="233"/>
      <c r="G25" s="233"/>
      <c r="H25" s="233"/>
      <c r="I25" s="233"/>
      <c r="J25" s="233"/>
      <c r="K25" s="233"/>
      <c r="L25" s="233"/>
      <c r="M25" s="233"/>
      <c r="N25" s="233"/>
      <c r="O25" s="233"/>
    </row>
    <row r="26" spans="1:15" ht="20.100000000000001" customHeight="1">
      <c r="A26" s="238"/>
      <c r="B26" s="233"/>
      <c r="C26" s="234"/>
      <c r="D26" s="235"/>
      <c r="E26" s="233"/>
      <c r="F26" s="233"/>
      <c r="G26" s="233"/>
      <c r="H26" s="233"/>
      <c r="I26" s="233"/>
      <c r="J26" s="233"/>
      <c r="K26" s="233"/>
      <c r="L26" s="233"/>
      <c r="M26" s="233"/>
      <c r="N26" s="233"/>
      <c r="O26" s="233"/>
    </row>
    <row r="27" spans="1:15" ht="20.100000000000001" customHeight="1">
      <c r="A27" s="238"/>
      <c r="B27" s="233"/>
      <c r="C27" s="234"/>
      <c r="D27" s="235"/>
      <c r="E27" s="233"/>
      <c r="F27" s="233"/>
      <c r="G27" s="233"/>
      <c r="H27" s="233"/>
      <c r="I27" s="233"/>
      <c r="J27" s="233"/>
      <c r="K27" s="233"/>
      <c r="L27" s="233"/>
      <c r="M27" s="233"/>
      <c r="N27" s="233"/>
      <c r="O27" s="233"/>
    </row>
    <row r="28" spans="1:15" ht="20.100000000000001" customHeight="1">
      <c r="A28" s="238"/>
      <c r="B28" s="233"/>
      <c r="C28" s="234"/>
      <c r="D28" s="235"/>
      <c r="E28" s="233"/>
      <c r="F28" s="233"/>
      <c r="G28" s="233"/>
      <c r="H28" s="233"/>
      <c r="I28" s="233"/>
      <c r="J28" s="233"/>
      <c r="K28" s="233"/>
      <c r="L28" s="233"/>
      <c r="M28" s="233"/>
      <c r="N28" s="233"/>
      <c r="O28" s="233"/>
    </row>
    <row r="29" spans="1:15" ht="20.100000000000001" customHeight="1">
      <c r="A29" s="238"/>
      <c r="B29" s="233"/>
      <c r="C29" s="234"/>
      <c r="D29" s="235"/>
      <c r="E29" s="233"/>
      <c r="F29" s="233"/>
      <c r="G29" s="233"/>
      <c r="H29" s="233"/>
      <c r="I29" s="233"/>
      <c r="J29" s="233"/>
      <c r="K29" s="233"/>
      <c r="L29" s="233"/>
      <c r="M29" s="233"/>
      <c r="N29" s="233"/>
      <c r="O29" s="233"/>
    </row>
    <row r="30" spans="1:15" ht="20.100000000000001" customHeight="1">
      <c r="A30" s="238"/>
      <c r="B30" s="233"/>
      <c r="C30" s="234"/>
      <c r="D30" s="235"/>
      <c r="E30" s="233"/>
      <c r="F30" s="233"/>
      <c r="G30" s="233"/>
      <c r="H30" s="233"/>
      <c r="I30" s="233"/>
      <c r="J30" s="233"/>
      <c r="K30" s="233"/>
      <c r="L30" s="233"/>
      <c r="M30" s="233"/>
      <c r="N30" s="233"/>
      <c r="O30" s="233"/>
    </row>
    <row r="31" spans="1:15" ht="20.100000000000001" customHeight="1">
      <c r="A31" s="238"/>
      <c r="B31" s="233"/>
      <c r="C31" s="234"/>
      <c r="D31" s="235"/>
      <c r="E31" s="233"/>
      <c r="F31" s="233"/>
      <c r="G31" s="233"/>
      <c r="H31" s="233"/>
      <c r="I31" s="233"/>
      <c r="J31" s="233"/>
      <c r="K31" s="233"/>
      <c r="L31" s="233"/>
      <c r="M31" s="233"/>
      <c r="N31" s="233"/>
      <c r="O31" s="233"/>
    </row>
    <row r="32" spans="1:15" ht="20.100000000000001" customHeight="1">
      <c r="A32" s="238"/>
      <c r="B32" s="233"/>
      <c r="C32" s="234"/>
      <c r="D32" s="235"/>
      <c r="E32" s="233"/>
      <c r="F32" s="233"/>
      <c r="G32" s="233"/>
      <c r="H32" s="233"/>
      <c r="I32" s="233"/>
      <c r="J32" s="233"/>
      <c r="K32" s="233"/>
      <c r="L32" s="233"/>
      <c r="M32" s="233"/>
      <c r="N32" s="233"/>
      <c r="O32" s="233"/>
    </row>
    <row r="33" spans="1:15" ht="20.100000000000001" customHeight="1">
      <c r="A33" s="238"/>
      <c r="B33" s="233"/>
      <c r="C33" s="234"/>
      <c r="D33" s="235"/>
      <c r="E33" s="233"/>
      <c r="F33" s="233"/>
      <c r="G33" s="233"/>
      <c r="H33" s="233"/>
      <c r="I33" s="233"/>
      <c r="J33" s="233"/>
      <c r="K33" s="233"/>
      <c r="L33" s="233"/>
      <c r="M33" s="233"/>
      <c r="N33" s="233"/>
      <c r="O33" s="233"/>
    </row>
    <row r="34" spans="1:15" ht="20.100000000000001" customHeight="1">
      <c r="A34" s="238"/>
      <c r="B34" s="233"/>
      <c r="C34" s="234"/>
      <c r="D34" s="235"/>
      <c r="E34" s="233"/>
      <c r="F34" s="233"/>
      <c r="G34" s="233"/>
      <c r="H34" s="233"/>
      <c r="I34" s="233"/>
      <c r="J34" s="233"/>
      <c r="K34" s="233"/>
      <c r="L34" s="233"/>
      <c r="M34" s="233"/>
      <c r="N34" s="233"/>
      <c r="O34" s="233"/>
    </row>
    <row r="35" spans="1:15" ht="20.100000000000001" customHeight="1">
      <c r="A35" s="238"/>
      <c r="B35" s="233"/>
      <c r="C35" s="234"/>
      <c r="D35" s="235"/>
      <c r="E35" s="233"/>
      <c r="F35" s="233"/>
      <c r="G35" s="233"/>
      <c r="H35" s="233"/>
      <c r="I35" s="233"/>
      <c r="J35" s="233"/>
      <c r="K35" s="233"/>
      <c r="L35" s="233"/>
      <c r="M35" s="233"/>
      <c r="N35" s="233"/>
      <c r="O35" s="233"/>
    </row>
    <row r="36" spans="1:15" ht="20.100000000000001" customHeight="1">
      <c r="A36" s="238"/>
      <c r="B36" s="233"/>
      <c r="C36" s="234"/>
      <c r="D36" s="235"/>
      <c r="E36" s="233"/>
      <c r="F36" s="233"/>
      <c r="G36" s="233"/>
      <c r="H36" s="233"/>
      <c r="I36" s="233"/>
      <c r="J36" s="233"/>
      <c r="K36" s="233"/>
      <c r="L36" s="233"/>
      <c r="M36" s="233"/>
      <c r="N36" s="233"/>
      <c r="O36" s="233"/>
    </row>
    <row r="37" spans="1:15" ht="20.100000000000001" customHeight="1">
      <c r="A37" s="238"/>
      <c r="B37" s="233"/>
      <c r="C37" s="234"/>
      <c r="D37" s="235"/>
      <c r="E37" s="233"/>
      <c r="F37" s="233"/>
      <c r="G37" s="233"/>
      <c r="H37" s="233"/>
      <c r="I37" s="233"/>
      <c r="J37" s="233"/>
      <c r="K37" s="233"/>
      <c r="L37" s="233"/>
      <c r="M37" s="233"/>
      <c r="N37" s="233"/>
      <c r="O37" s="233"/>
    </row>
    <row r="38" spans="1:15" ht="20.100000000000001" customHeight="1">
      <c r="A38" s="238"/>
      <c r="B38" s="233"/>
      <c r="C38" s="234"/>
      <c r="D38" s="235"/>
      <c r="E38" s="233"/>
      <c r="F38" s="233"/>
      <c r="G38" s="233"/>
      <c r="H38" s="233"/>
      <c r="I38" s="233"/>
      <c r="J38" s="233"/>
      <c r="K38" s="233"/>
      <c r="L38" s="233"/>
      <c r="M38" s="233"/>
      <c r="N38" s="233"/>
      <c r="O38" s="233"/>
    </row>
    <row r="39" spans="1:15" ht="20.100000000000001" customHeight="1">
      <c r="A39" s="238"/>
      <c r="B39" s="233"/>
      <c r="C39" s="234"/>
      <c r="D39" s="235"/>
      <c r="E39" s="233"/>
      <c r="F39" s="233"/>
      <c r="G39" s="233"/>
      <c r="H39" s="233"/>
      <c r="I39" s="233"/>
      <c r="J39" s="233"/>
      <c r="K39" s="233"/>
      <c r="L39" s="233"/>
      <c r="M39" s="233"/>
      <c r="N39" s="233"/>
      <c r="O39" s="233"/>
    </row>
    <row r="40" spans="1:15" ht="20.100000000000001" customHeight="1">
      <c r="A40" s="238"/>
      <c r="B40" s="233"/>
      <c r="C40" s="234"/>
      <c r="D40" s="235"/>
      <c r="E40" s="233"/>
      <c r="F40" s="233"/>
      <c r="G40" s="233"/>
      <c r="H40" s="233"/>
      <c r="I40" s="233"/>
      <c r="J40" s="233"/>
      <c r="K40" s="233"/>
      <c r="L40" s="233"/>
      <c r="M40" s="233"/>
      <c r="N40" s="233"/>
      <c r="O40" s="233"/>
    </row>
    <row r="41" spans="1:15" ht="20.100000000000001" customHeight="1">
      <c r="A41" s="238"/>
      <c r="B41" s="233"/>
      <c r="C41" s="234"/>
      <c r="D41" s="235"/>
      <c r="E41" s="233"/>
      <c r="F41" s="233"/>
      <c r="G41" s="233"/>
      <c r="H41" s="233"/>
      <c r="I41" s="233"/>
      <c r="J41" s="233"/>
      <c r="K41" s="233"/>
      <c r="L41" s="233"/>
      <c r="M41" s="233"/>
      <c r="N41" s="233"/>
      <c r="O41" s="233"/>
    </row>
    <row r="42" spans="1:15" ht="20.100000000000001" customHeight="1">
      <c r="A42" s="238"/>
      <c r="B42" s="233"/>
      <c r="C42" s="234"/>
      <c r="D42" s="235"/>
      <c r="E42" s="233"/>
      <c r="F42" s="233"/>
      <c r="G42" s="233"/>
      <c r="H42" s="233"/>
      <c r="I42" s="233"/>
      <c r="J42" s="233"/>
      <c r="K42" s="233"/>
      <c r="L42" s="233"/>
      <c r="M42" s="233"/>
      <c r="N42" s="233"/>
      <c r="O42" s="233"/>
    </row>
    <row r="43" spans="1:15" ht="20.100000000000001" customHeight="1">
      <c r="A43" s="238"/>
      <c r="B43" s="233"/>
      <c r="C43" s="234"/>
      <c r="D43" s="235"/>
      <c r="E43" s="233"/>
      <c r="F43" s="233"/>
      <c r="G43" s="233"/>
      <c r="H43" s="233"/>
      <c r="I43" s="233"/>
      <c r="J43" s="233"/>
      <c r="K43" s="233"/>
      <c r="L43" s="233"/>
      <c r="M43" s="233"/>
      <c r="N43" s="233"/>
      <c r="O43" s="233"/>
    </row>
    <row r="44" spans="1:15" ht="20.100000000000001" customHeight="1">
      <c r="A44" s="238"/>
      <c r="B44" s="233"/>
      <c r="C44" s="234"/>
      <c r="D44" s="235"/>
      <c r="E44" s="233"/>
      <c r="F44" s="233"/>
      <c r="G44" s="233"/>
      <c r="H44" s="233"/>
      <c r="I44" s="233"/>
      <c r="J44" s="233"/>
      <c r="K44" s="233"/>
      <c r="L44" s="233"/>
      <c r="M44" s="233"/>
      <c r="N44" s="233"/>
      <c r="O44" s="233"/>
    </row>
    <row r="45" spans="1:15" ht="20.100000000000001" customHeight="1">
      <c r="A45" s="238"/>
      <c r="B45" s="233"/>
      <c r="C45" s="234"/>
      <c r="D45" s="235"/>
      <c r="E45" s="233"/>
      <c r="F45" s="233"/>
      <c r="G45" s="233"/>
      <c r="H45" s="233"/>
      <c r="I45" s="233"/>
      <c r="J45" s="233"/>
      <c r="K45" s="233"/>
      <c r="L45" s="233"/>
      <c r="M45" s="233"/>
      <c r="N45" s="233"/>
      <c r="O45" s="233"/>
    </row>
    <row r="46" spans="1:15" ht="20.100000000000001" customHeight="1">
      <c r="A46" s="238"/>
      <c r="B46" s="233"/>
      <c r="C46" s="234"/>
      <c r="D46" s="235"/>
      <c r="E46" s="233"/>
      <c r="F46" s="233"/>
      <c r="G46" s="233"/>
      <c r="H46" s="233"/>
      <c r="I46" s="233"/>
      <c r="J46" s="233"/>
      <c r="K46" s="233"/>
      <c r="L46" s="233"/>
      <c r="M46" s="233"/>
      <c r="N46" s="233"/>
      <c r="O46" s="233"/>
    </row>
    <row r="47" spans="1:15" ht="20.100000000000001" customHeight="1">
      <c r="A47" s="238"/>
      <c r="B47" s="233"/>
      <c r="C47" s="234"/>
      <c r="D47" s="235"/>
      <c r="E47" s="233"/>
      <c r="F47" s="233"/>
      <c r="G47" s="233"/>
      <c r="H47" s="233"/>
      <c r="I47" s="233"/>
      <c r="J47" s="233"/>
      <c r="K47" s="233"/>
      <c r="L47" s="233"/>
      <c r="M47" s="233"/>
      <c r="N47" s="233"/>
      <c r="O47" s="233"/>
    </row>
    <row r="48" spans="1:15" ht="20.100000000000001" customHeight="1">
      <c r="A48" s="238"/>
      <c r="B48" s="233"/>
      <c r="C48" s="234"/>
      <c r="D48" s="235"/>
      <c r="E48" s="233"/>
      <c r="F48" s="233"/>
      <c r="G48" s="233"/>
      <c r="H48" s="233"/>
      <c r="I48" s="233"/>
      <c r="J48" s="233"/>
      <c r="K48" s="233"/>
      <c r="L48" s="233"/>
      <c r="M48" s="233"/>
      <c r="N48" s="233"/>
      <c r="O48" s="233"/>
    </row>
    <row r="49" spans="1:15" ht="20.100000000000001" customHeight="1">
      <c r="A49" s="238"/>
      <c r="B49" s="233"/>
      <c r="C49" s="234"/>
      <c r="D49" s="235"/>
      <c r="E49" s="233"/>
      <c r="F49" s="233"/>
      <c r="G49" s="233"/>
      <c r="H49" s="233"/>
      <c r="I49" s="233"/>
      <c r="J49" s="233"/>
      <c r="K49" s="233"/>
      <c r="L49" s="233"/>
      <c r="M49" s="233"/>
      <c r="N49" s="233"/>
      <c r="O49" s="233"/>
    </row>
    <row r="50" spans="1:15" ht="20.100000000000001" customHeight="1">
      <c r="A50" s="238"/>
      <c r="B50" s="233"/>
      <c r="C50" s="234"/>
      <c r="D50" s="235"/>
      <c r="E50" s="233"/>
      <c r="F50" s="233"/>
      <c r="G50" s="233"/>
      <c r="H50" s="233"/>
      <c r="I50" s="233"/>
      <c r="J50" s="233"/>
      <c r="K50" s="233"/>
      <c r="L50" s="233"/>
      <c r="M50" s="233"/>
      <c r="N50" s="233"/>
      <c r="O50" s="233"/>
    </row>
    <row r="51" spans="1:15" ht="20.100000000000001" customHeight="1">
      <c r="A51" s="238"/>
      <c r="B51" s="233"/>
      <c r="C51" s="234"/>
      <c r="D51" s="235"/>
      <c r="E51" s="233"/>
      <c r="F51" s="233"/>
      <c r="G51" s="233"/>
      <c r="H51" s="233"/>
      <c r="I51" s="233"/>
      <c r="J51" s="233"/>
      <c r="K51" s="233"/>
      <c r="L51" s="233"/>
      <c r="M51" s="233"/>
      <c r="N51" s="233"/>
      <c r="O51" s="233"/>
    </row>
    <row r="52" spans="1:15" ht="20.100000000000001" customHeight="1">
      <c r="A52" s="238"/>
      <c r="B52" s="233"/>
      <c r="C52" s="234"/>
      <c r="D52" s="235"/>
      <c r="E52" s="233"/>
      <c r="F52" s="233"/>
      <c r="G52" s="233"/>
      <c r="H52" s="233"/>
      <c r="I52" s="233"/>
      <c r="J52" s="233"/>
      <c r="K52" s="233"/>
      <c r="L52" s="233"/>
      <c r="M52" s="233"/>
      <c r="N52" s="233"/>
      <c r="O52" s="233"/>
    </row>
    <row r="53" spans="1:15" ht="20.100000000000001" customHeight="1">
      <c r="A53" s="238"/>
      <c r="B53" s="233"/>
      <c r="C53" s="234"/>
      <c r="D53" s="235"/>
      <c r="E53" s="233"/>
      <c r="F53" s="233"/>
      <c r="G53" s="233"/>
      <c r="H53" s="233"/>
      <c r="I53" s="233"/>
      <c r="J53" s="233"/>
      <c r="K53" s="233"/>
      <c r="L53" s="233"/>
      <c r="M53" s="233"/>
      <c r="N53" s="233"/>
      <c r="O53" s="233"/>
    </row>
    <row r="54" spans="1:15" ht="20.100000000000001" customHeight="1">
      <c r="A54" s="238"/>
      <c r="B54" s="233"/>
      <c r="C54" s="234"/>
      <c r="D54" s="235"/>
      <c r="E54" s="233"/>
      <c r="F54" s="233"/>
      <c r="G54" s="233"/>
      <c r="H54" s="233"/>
      <c r="I54" s="233"/>
      <c r="J54" s="233"/>
      <c r="K54" s="233"/>
      <c r="L54" s="233"/>
      <c r="M54" s="233"/>
      <c r="N54" s="233"/>
      <c r="O54" s="233"/>
    </row>
    <row r="55" spans="1:15" ht="20.100000000000001" customHeight="1">
      <c r="A55" s="238"/>
      <c r="B55" s="233"/>
      <c r="C55" s="234"/>
      <c r="D55" s="235"/>
      <c r="E55" s="233"/>
      <c r="F55" s="233"/>
      <c r="G55" s="233"/>
      <c r="H55" s="233"/>
      <c r="I55" s="233"/>
      <c r="J55" s="233"/>
      <c r="K55" s="233"/>
      <c r="L55" s="233"/>
      <c r="M55" s="233"/>
      <c r="N55" s="233"/>
      <c r="O55" s="233"/>
    </row>
    <row r="56" spans="1:15" ht="20.100000000000001" customHeight="1">
      <c r="A56" s="238"/>
      <c r="B56" s="233"/>
      <c r="C56" s="234"/>
      <c r="D56" s="235"/>
      <c r="E56" s="233"/>
      <c r="F56" s="233"/>
      <c r="G56" s="233"/>
      <c r="H56" s="233"/>
      <c r="I56" s="233"/>
      <c r="J56" s="233"/>
      <c r="K56" s="233"/>
      <c r="L56" s="233"/>
      <c r="M56" s="233"/>
      <c r="N56" s="233"/>
      <c r="O56" s="233"/>
    </row>
    <row r="57" spans="1:15" ht="20.100000000000001" customHeight="1">
      <c r="A57" s="238"/>
      <c r="B57" s="233"/>
      <c r="C57" s="234"/>
      <c r="D57" s="235"/>
      <c r="E57" s="233"/>
      <c r="F57" s="233"/>
      <c r="G57" s="233"/>
      <c r="H57" s="233"/>
      <c r="I57" s="233"/>
      <c r="J57" s="233"/>
      <c r="K57" s="233"/>
      <c r="L57" s="233"/>
      <c r="M57" s="233"/>
      <c r="N57" s="233"/>
      <c r="O57" s="233"/>
    </row>
    <row r="58" spans="1:15" ht="20.100000000000001" customHeight="1">
      <c r="A58" s="238"/>
      <c r="B58" s="233"/>
      <c r="C58" s="234"/>
      <c r="D58" s="235"/>
      <c r="E58" s="233"/>
      <c r="F58" s="233"/>
      <c r="G58" s="233"/>
      <c r="H58" s="233"/>
      <c r="I58" s="233"/>
      <c r="J58" s="233"/>
      <c r="K58" s="233"/>
      <c r="L58" s="233"/>
      <c r="M58" s="233"/>
      <c r="N58" s="233"/>
      <c r="O58" s="233"/>
    </row>
    <row r="59" spans="1:15" ht="20.100000000000001" customHeight="1">
      <c r="A59" s="238"/>
      <c r="B59" s="233"/>
      <c r="C59" s="234"/>
      <c r="D59" s="235"/>
      <c r="E59" s="233"/>
      <c r="F59" s="233"/>
      <c r="G59" s="233"/>
      <c r="H59" s="233"/>
      <c r="I59" s="233"/>
      <c r="J59" s="233"/>
      <c r="K59" s="233"/>
      <c r="L59" s="233"/>
      <c r="M59" s="233"/>
      <c r="N59" s="233"/>
      <c r="O59" s="233"/>
    </row>
    <row r="60" spans="1:15" ht="20.100000000000001" customHeight="1">
      <c r="A60" s="238"/>
      <c r="B60" s="233"/>
      <c r="C60" s="234"/>
      <c r="D60" s="235"/>
      <c r="E60" s="233"/>
      <c r="F60" s="233"/>
      <c r="G60" s="233"/>
      <c r="H60" s="233"/>
      <c r="I60" s="233"/>
      <c r="J60" s="233"/>
      <c r="K60" s="233"/>
      <c r="L60" s="233"/>
      <c r="M60" s="233"/>
      <c r="N60" s="233"/>
      <c r="O60" s="233"/>
    </row>
    <row r="61" spans="1:15" ht="20.100000000000001" customHeight="1">
      <c r="A61" s="238"/>
      <c r="B61" s="233"/>
      <c r="C61" s="234"/>
      <c r="D61" s="235"/>
      <c r="E61" s="233"/>
      <c r="F61" s="233"/>
      <c r="G61" s="233"/>
      <c r="H61" s="233"/>
      <c r="I61" s="233"/>
      <c r="J61" s="233"/>
      <c r="K61" s="233"/>
      <c r="L61" s="233"/>
      <c r="M61" s="233"/>
      <c r="N61" s="233"/>
      <c r="O61" s="233"/>
    </row>
    <row r="62" spans="1:15" ht="20.100000000000001" customHeight="1">
      <c r="A62" s="238"/>
      <c r="B62" s="233"/>
      <c r="C62" s="234"/>
      <c r="D62" s="235"/>
      <c r="E62" s="233"/>
      <c r="F62" s="233"/>
      <c r="G62" s="233"/>
      <c r="H62" s="233"/>
      <c r="I62" s="233"/>
      <c r="J62" s="233"/>
      <c r="K62" s="233"/>
      <c r="L62" s="233"/>
      <c r="M62" s="233"/>
      <c r="N62" s="233"/>
      <c r="O62" s="233"/>
    </row>
    <row r="63" spans="1:15" ht="20.100000000000001" customHeight="1">
      <c r="A63" s="238"/>
      <c r="B63" s="233"/>
      <c r="C63" s="234"/>
      <c r="D63" s="235"/>
      <c r="E63" s="233"/>
      <c r="F63" s="233"/>
      <c r="G63" s="233"/>
      <c r="H63" s="233"/>
      <c r="I63" s="233"/>
      <c r="J63" s="233"/>
      <c r="K63" s="233"/>
      <c r="L63" s="233"/>
      <c r="M63" s="233"/>
      <c r="N63" s="233"/>
      <c r="O63" s="233"/>
    </row>
    <row r="64" spans="1:15" ht="20.100000000000001" customHeight="1">
      <c r="A64" s="238"/>
      <c r="B64" s="233"/>
      <c r="C64" s="234"/>
      <c r="D64" s="235"/>
      <c r="E64" s="233"/>
      <c r="F64" s="233"/>
      <c r="G64" s="233"/>
      <c r="H64" s="233"/>
      <c r="I64" s="233"/>
      <c r="J64" s="233"/>
      <c r="K64" s="233"/>
      <c r="L64" s="233"/>
      <c r="M64" s="233"/>
      <c r="N64" s="233"/>
      <c r="O64" s="233"/>
    </row>
    <row r="65" spans="1:15" ht="20.100000000000001" customHeight="1">
      <c r="A65" s="238"/>
      <c r="B65" s="233"/>
      <c r="C65" s="234"/>
      <c r="D65" s="235"/>
      <c r="E65" s="233"/>
      <c r="F65" s="233"/>
      <c r="G65" s="233"/>
      <c r="H65" s="233"/>
      <c r="I65" s="233"/>
      <c r="J65" s="233"/>
      <c r="K65" s="233"/>
      <c r="L65" s="233"/>
      <c r="M65" s="233"/>
      <c r="N65" s="233"/>
      <c r="O65" s="233"/>
    </row>
    <row r="66" spans="1:15" ht="20.100000000000001" customHeight="1">
      <c r="A66" s="238"/>
      <c r="B66" s="233"/>
      <c r="C66" s="234"/>
      <c r="D66" s="235"/>
      <c r="E66" s="233"/>
      <c r="F66" s="233"/>
      <c r="G66" s="233"/>
      <c r="H66" s="233"/>
      <c r="I66" s="233"/>
      <c r="J66" s="233"/>
      <c r="K66" s="233"/>
      <c r="L66" s="233"/>
      <c r="M66" s="233"/>
      <c r="N66" s="233"/>
      <c r="O66" s="233"/>
    </row>
    <row r="67" spans="1:15" ht="20.100000000000001" customHeight="1">
      <c r="A67" s="238"/>
      <c r="B67" s="233"/>
      <c r="C67" s="234"/>
      <c r="D67" s="235"/>
      <c r="E67" s="233"/>
      <c r="F67" s="233"/>
      <c r="G67" s="233"/>
      <c r="H67" s="233"/>
      <c r="I67" s="233"/>
      <c r="J67" s="233"/>
      <c r="K67" s="233"/>
      <c r="L67" s="233"/>
      <c r="M67" s="233"/>
      <c r="N67" s="233"/>
      <c r="O67" s="233"/>
    </row>
    <row r="68" spans="1:15" ht="20.100000000000001" customHeight="1">
      <c r="A68" s="238"/>
      <c r="B68" s="233"/>
      <c r="C68" s="234"/>
      <c r="D68" s="235"/>
      <c r="E68" s="233"/>
      <c r="F68" s="233"/>
      <c r="G68" s="233"/>
      <c r="H68" s="233"/>
      <c r="I68" s="233"/>
      <c r="J68" s="233"/>
      <c r="K68" s="233"/>
      <c r="L68" s="233"/>
      <c r="M68" s="233"/>
      <c r="N68" s="233"/>
      <c r="O68" s="233"/>
    </row>
    <row r="69" spans="1:15" ht="20.100000000000001" customHeight="1">
      <c r="A69" s="238"/>
      <c r="B69" s="233"/>
      <c r="C69" s="234"/>
      <c r="D69" s="235"/>
      <c r="E69" s="233"/>
      <c r="F69" s="233"/>
      <c r="G69" s="233"/>
      <c r="H69" s="233"/>
      <c r="I69" s="233"/>
      <c r="J69" s="233"/>
      <c r="K69" s="233"/>
      <c r="L69" s="233"/>
      <c r="M69" s="233"/>
      <c r="N69" s="233"/>
      <c r="O69" s="233"/>
    </row>
    <row r="70" spans="1:15" ht="20.100000000000001" customHeight="1">
      <c r="A70" s="238"/>
      <c r="B70" s="233"/>
      <c r="C70" s="234"/>
      <c r="D70" s="235"/>
      <c r="E70" s="233"/>
      <c r="F70" s="233"/>
      <c r="G70" s="233"/>
      <c r="H70" s="233"/>
      <c r="I70" s="233"/>
      <c r="J70" s="233"/>
      <c r="K70" s="233"/>
      <c r="L70" s="233"/>
      <c r="M70" s="233"/>
      <c r="N70" s="233"/>
      <c r="O70" s="233"/>
    </row>
    <row r="71" spans="1:15" ht="20.100000000000001" customHeight="1">
      <c r="A71" s="238"/>
      <c r="B71" s="233"/>
      <c r="C71" s="234"/>
      <c r="D71" s="235"/>
      <c r="E71" s="233"/>
      <c r="F71" s="233"/>
      <c r="G71" s="233"/>
      <c r="H71" s="233"/>
      <c r="I71" s="233"/>
      <c r="J71" s="233"/>
      <c r="K71" s="233"/>
      <c r="L71" s="233"/>
      <c r="M71" s="233"/>
      <c r="N71" s="233"/>
      <c r="O71" s="233"/>
    </row>
    <row r="72" spans="1:15" ht="20.100000000000001" customHeight="1">
      <c r="A72" s="238"/>
      <c r="B72" s="233"/>
      <c r="C72" s="234"/>
      <c r="D72" s="235"/>
      <c r="E72" s="233"/>
      <c r="F72" s="233"/>
      <c r="G72" s="233"/>
      <c r="H72" s="233"/>
      <c r="I72" s="233"/>
      <c r="J72" s="233"/>
      <c r="K72" s="233"/>
      <c r="L72" s="233"/>
      <c r="M72" s="233"/>
      <c r="N72" s="233"/>
      <c r="O72" s="233"/>
    </row>
    <row r="73" spans="1:15" ht="20.100000000000001" customHeight="1">
      <c r="A73" s="238"/>
      <c r="B73" s="233"/>
      <c r="C73" s="234"/>
      <c r="D73" s="235"/>
      <c r="E73" s="233"/>
      <c r="F73" s="233"/>
      <c r="G73" s="233"/>
      <c r="H73" s="233"/>
      <c r="I73" s="233"/>
      <c r="J73" s="233"/>
      <c r="K73" s="233"/>
      <c r="L73" s="233"/>
      <c r="M73" s="233"/>
      <c r="N73" s="233"/>
      <c r="O73" s="233"/>
    </row>
    <row r="74" spans="1:15" ht="20.100000000000001" customHeight="1">
      <c r="A74" s="238"/>
      <c r="B74" s="233"/>
      <c r="C74" s="234"/>
      <c r="D74" s="235"/>
      <c r="E74" s="233"/>
      <c r="F74" s="233"/>
      <c r="G74" s="233"/>
      <c r="H74" s="233"/>
      <c r="I74" s="233"/>
      <c r="J74" s="233"/>
      <c r="K74" s="233"/>
      <c r="L74" s="233"/>
      <c r="M74" s="233"/>
      <c r="N74" s="233"/>
      <c r="O74" s="233"/>
    </row>
    <row r="75" spans="1:15" ht="20.100000000000001" customHeight="1">
      <c r="A75" s="238"/>
      <c r="B75" s="233"/>
      <c r="C75" s="234"/>
      <c r="D75" s="235"/>
      <c r="E75" s="233"/>
      <c r="F75" s="233"/>
      <c r="G75" s="233"/>
      <c r="H75" s="233"/>
      <c r="I75" s="233"/>
      <c r="J75" s="233"/>
      <c r="K75" s="233"/>
      <c r="L75" s="233"/>
      <c r="M75" s="233"/>
      <c r="N75" s="233"/>
      <c r="O75" s="233"/>
    </row>
    <row r="76" spans="1:15" ht="20.100000000000001" customHeight="1">
      <c r="A76" s="238"/>
      <c r="B76" s="233"/>
      <c r="C76" s="234"/>
      <c r="D76" s="235"/>
      <c r="E76" s="233"/>
      <c r="F76" s="233"/>
      <c r="G76" s="233"/>
      <c r="H76" s="233"/>
      <c r="I76" s="233"/>
      <c r="J76" s="233"/>
      <c r="K76" s="233"/>
      <c r="L76" s="233"/>
      <c r="M76" s="233"/>
      <c r="N76" s="233"/>
      <c r="O76" s="233"/>
    </row>
    <row r="77" spans="1:15" ht="20.100000000000001" customHeight="1">
      <c r="A77" s="238"/>
      <c r="B77" s="233"/>
      <c r="C77" s="234"/>
      <c r="D77" s="235"/>
      <c r="E77" s="233"/>
      <c r="F77" s="233"/>
      <c r="G77" s="233"/>
      <c r="H77" s="233"/>
      <c r="I77" s="233"/>
      <c r="J77" s="233"/>
      <c r="K77" s="233"/>
      <c r="L77" s="233"/>
      <c r="M77" s="233"/>
      <c r="N77" s="233"/>
      <c r="O77" s="233"/>
    </row>
    <row r="78" spans="1:15" ht="20.100000000000001" customHeight="1">
      <c r="A78" s="238"/>
      <c r="B78" s="233"/>
      <c r="C78" s="234"/>
      <c r="D78" s="235"/>
      <c r="E78" s="233"/>
      <c r="F78" s="233"/>
      <c r="G78" s="233"/>
      <c r="H78" s="233"/>
      <c r="I78" s="233"/>
      <c r="J78" s="233"/>
      <c r="K78" s="233"/>
      <c r="L78" s="233"/>
      <c r="M78" s="233"/>
      <c r="N78" s="233"/>
      <c r="O78" s="233"/>
    </row>
    <row r="79" spans="1:15" ht="20.100000000000001" customHeight="1">
      <c r="A79" s="238"/>
      <c r="B79" s="233"/>
      <c r="C79" s="234"/>
      <c r="D79" s="235"/>
      <c r="E79" s="233"/>
      <c r="F79" s="233"/>
      <c r="G79" s="233"/>
      <c r="H79" s="233"/>
      <c r="I79" s="233"/>
      <c r="J79" s="233"/>
      <c r="K79" s="233"/>
      <c r="L79" s="233"/>
      <c r="M79" s="233"/>
      <c r="N79" s="233"/>
      <c r="O79" s="233"/>
    </row>
    <row r="80" spans="1:15" ht="20.100000000000001" customHeight="1">
      <c r="A80" s="238"/>
      <c r="B80" s="233"/>
      <c r="C80" s="234"/>
      <c r="D80" s="235"/>
      <c r="E80" s="233"/>
      <c r="F80" s="233"/>
      <c r="G80" s="233"/>
      <c r="H80" s="233"/>
      <c r="I80" s="233"/>
      <c r="J80" s="233"/>
      <c r="K80" s="233"/>
      <c r="L80" s="233"/>
      <c r="M80" s="233"/>
      <c r="N80" s="233"/>
      <c r="O80" s="233"/>
    </row>
    <row r="81" spans="1:15" ht="20.100000000000001" customHeight="1">
      <c r="A81" s="238"/>
      <c r="B81" s="233"/>
      <c r="C81" s="234"/>
      <c r="D81" s="235"/>
      <c r="E81" s="233"/>
      <c r="F81" s="233"/>
      <c r="G81" s="233"/>
      <c r="H81" s="233"/>
      <c r="I81" s="233"/>
      <c r="J81" s="233"/>
      <c r="K81" s="233"/>
      <c r="L81" s="233"/>
      <c r="M81" s="233"/>
      <c r="N81" s="233"/>
      <c r="O81" s="233"/>
    </row>
    <row r="82" spans="1:15" ht="20.100000000000001" customHeight="1">
      <c r="A82" s="238"/>
      <c r="B82" s="233"/>
      <c r="C82" s="234"/>
      <c r="D82" s="235"/>
      <c r="E82" s="233"/>
      <c r="F82" s="233"/>
      <c r="G82" s="233"/>
      <c r="H82" s="233"/>
      <c r="I82" s="233"/>
      <c r="J82" s="233"/>
      <c r="K82" s="233"/>
      <c r="L82" s="233"/>
      <c r="M82" s="233"/>
      <c r="N82" s="233"/>
      <c r="O82" s="233"/>
    </row>
    <row r="83" spans="1:15" ht="20.100000000000001" customHeight="1">
      <c r="A83" s="238"/>
      <c r="B83" s="233"/>
      <c r="C83" s="234"/>
      <c r="D83" s="235"/>
      <c r="E83" s="233"/>
      <c r="F83" s="233"/>
      <c r="G83" s="233"/>
      <c r="H83" s="233"/>
      <c r="I83" s="233"/>
      <c r="J83" s="233"/>
      <c r="K83" s="233"/>
      <c r="L83" s="233"/>
      <c r="M83" s="233"/>
      <c r="N83" s="233"/>
      <c r="O83" s="233"/>
    </row>
    <row r="84" spans="1:15" ht="20.100000000000001" customHeight="1">
      <c r="A84" s="238"/>
      <c r="B84" s="233"/>
      <c r="C84" s="234"/>
      <c r="D84" s="235"/>
      <c r="E84" s="233"/>
      <c r="F84" s="233"/>
      <c r="G84" s="233"/>
      <c r="H84" s="233"/>
      <c r="I84" s="233"/>
      <c r="J84" s="233"/>
      <c r="K84" s="233"/>
      <c r="L84" s="233"/>
      <c r="M84" s="233"/>
      <c r="N84" s="233"/>
      <c r="O84" s="233"/>
    </row>
    <row r="85" spans="1:15" ht="20.100000000000001" customHeight="1">
      <c r="A85" s="238"/>
      <c r="B85" s="233"/>
      <c r="C85" s="234"/>
      <c r="D85" s="235"/>
      <c r="E85" s="233"/>
      <c r="F85" s="233"/>
      <c r="G85" s="233"/>
      <c r="H85" s="233"/>
      <c r="I85" s="233"/>
      <c r="J85" s="233"/>
      <c r="K85" s="233"/>
      <c r="L85" s="233"/>
      <c r="M85" s="233"/>
      <c r="N85" s="233"/>
      <c r="O85" s="233"/>
    </row>
    <row r="86" spans="1:15" ht="20.100000000000001" customHeight="1">
      <c r="A86" s="238"/>
      <c r="B86" s="233"/>
      <c r="C86" s="234"/>
      <c r="D86" s="235"/>
      <c r="E86" s="233"/>
      <c r="F86" s="233"/>
      <c r="G86" s="233"/>
      <c r="H86" s="233"/>
      <c r="I86" s="233"/>
      <c r="J86" s="233"/>
      <c r="K86" s="233"/>
      <c r="L86" s="233"/>
      <c r="M86" s="233"/>
      <c r="N86" s="233"/>
      <c r="O86" s="233"/>
    </row>
    <row r="87" spans="1:15" ht="20.100000000000001" customHeight="1">
      <c r="A87" s="238"/>
      <c r="B87" s="233"/>
      <c r="C87" s="234"/>
      <c r="D87" s="235"/>
      <c r="E87" s="233"/>
      <c r="F87" s="233"/>
      <c r="G87" s="233"/>
      <c r="H87" s="233"/>
      <c r="I87" s="233"/>
      <c r="J87" s="233"/>
      <c r="K87" s="233"/>
      <c r="L87" s="233"/>
      <c r="M87" s="233"/>
      <c r="N87" s="233"/>
      <c r="O87" s="233">
        <f>SUM(F87:N87)</f>
        <v>0</v>
      </c>
    </row>
    <row r="88" spans="1:15" ht="20.100000000000001" customHeight="1">
      <c r="A88" s="238"/>
      <c r="B88" s="233"/>
      <c r="C88" s="234"/>
      <c r="D88" s="235"/>
      <c r="E88" s="233"/>
      <c r="F88" s="233"/>
      <c r="G88" s="233"/>
      <c r="H88" s="233"/>
      <c r="I88" s="233"/>
      <c r="J88" s="233"/>
      <c r="K88" s="233"/>
      <c r="L88" s="233"/>
      <c r="M88" s="233"/>
      <c r="N88" s="233"/>
      <c r="O88" s="233"/>
    </row>
    <row r="89" spans="1:15" ht="20.100000000000001" customHeight="1">
      <c r="A89" s="238"/>
      <c r="B89" s="233"/>
      <c r="C89" s="234"/>
      <c r="D89" s="235"/>
      <c r="E89" s="233"/>
      <c r="F89" s="233"/>
      <c r="G89" s="233"/>
      <c r="H89" s="233"/>
      <c r="I89" s="233"/>
      <c r="J89" s="233"/>
      <c r="K89" s="233"/>
      <c r="L89" s="233"/>
      <c r="M89" s="233"/>
      <c r="N89" s="233"/>
      <c r="O89" s="233"/>
    </row>
    <row r="90" spans="1:15" ht="20.100000000000001" customHeight="1">
      <c r="A90" s="238"/>
      <c r="B90" s="233"/>
      <c r="C90" s="234"/>
      <c r="D90" s="235"/>
      <c r="E90" s="233"/>
      <c r="F90" s="233"/>
      <c r="G90" s="233"/>
      <c r="H90" s="233"/>
      <c r="I90" s="233"/>
      <c r="J90" s="233"/>
      <c r="K90" s="233"/>
      <c r="L90" s="233"/>
      <c r="M90" s="233"/>
      <c r="N90" s="233"/>
      <c r="O90" s="233"/>
    </row>
    <row r="91" spans="1:15" ht="20.100000000000001" customHeight="1">
      <c r="A91" s="238"/>
      <c r="B91" s="233"/>
      <c r="C91" s="234"/>
      <c r="D91" s="235"/>
      <c r="E91" s="233"/>
      <c r="F91" s="233"/>
      <c r="G91" s="233"/>
      <c r="H91" s="233"/>
      <c r="I91" s="233"/>
      <c r="J91" s="233"/>
      <c r="K91" s="233"/>
      <c r="L91" s="233"/>
      <c r="M91" s="233"/>
      <c r="N91" s="233"/>
      <c r="O91" s="233"/>
    </row>
    <row r="92" spans="1:15" ht="20.100000000000001" customHeight="1">
      <c r="A92" s="238"/>
      <c r="B92" s="233"/>
      <c r="C92" s="234"/>
      <c r="D92" s="235"/>
      <c r="E92" s="233"/>
      <c r="F92" s="233"/>
      <c r="G92" s="233"/>
      <c r="H92" s="233"/>
      <c r="I92" s="233"/>
      <c r="J92" s="233"/>
      <c r="K92" s="233"/>
      <c r="L92" s="233"/>
      <c r="M92" s="233"/>
      <c r="N92" s="233"/>
      <c r="O92" s="233"/>
    </row>
    <row r="93" spans="1:15" ht="20.100000000000001" customHeight="1">
      <c r="A93" s="238"/>
      <c r="B93" s="233"/>
      <c r="C93" s="234"/>
      <c r="D93" s="235"/>
      <c r="E93" s="233"/>
      <c r="F93" s="233"/>
      <c r="G93" s="233"/>
      <c r="H93" s="233"/>
      <c r="I93" s="233"/>
      <c r="J93" s="233"/>
      <c r="K93" s="233"/>
      <c r="L93" s="233"/>
      <c r="M93" s="233"/>
      <c r="N93" s="233"/>
      <c r="O93" s="233"/>
    </row>
    <row r="94" spans="1:15" ht="20.100000000000001" customHeight="1">
      <c r="A94" s="238"/>
      <c r="B94" s="233"/>
      <c r="C94" s="234"/>
      <c r="D94" s="235"/>
      <c r="E94" s="233"/>
      <c r="F94" s="233"/>
      <c r="G94" s="233"/>
      <c r="H94" s="233"/>
      <c r="I94" s="233"/>
      <c r="J94" s="233"/>
      <c r="K94" s="233"/>
      <c r="L94" s="233"/>
      <c r="M94" s="233"/>
      <c r="N94" s="233"/>
      <c r="O94" s="233"/>
    </row>
    <row r="95" spans="1:15" ht="20.100000000000001" customHeight="1">
      <c r="A95" s="238"/>
      <c r="B95" s="233"/>
      <c r="C95" s="234"/>
      <c r="D95" s="235"/>
      <c r="E95" s="233"/>
      <c r="F95" s="233"/>
      <c r="G95" s="233"/>
      <c r="H95" s="233"/>
      <c r="I95" s="233"/>
      <c r="J95" s="233"/>
      <c r="K95" s="233"/>
      <c r="L95" s="233"/>
      <c r="M95" s="233"/>
      <c r="N95" s="233"/>
      <c r="O95" s="233"/>
    </row>
    <row r="96" spans="1:15" ht="20.100000000000001" customHeight="1">
      <c r="A96" s="238"/>
      <c r="B96" s="233"/>
      <c r="C96" s="234"/>
      <c r="D96" s="235"/>
      <c r="E96" s="233"/>
      <c r="F96" s="233"/>
      <c r="G96" s="233"/>
      <c r="H96" s="233"/>
      <c r="I96" s="233"/>
      <c r="J96" s="233"/>
      <c r="K96" s="233"/>
      <c r="L96" s="233"/>
      <c r="M96" s="233"/>
      <c r="N96" s="233"/>
      <c r="O96" s="233"/>
    </row>
    <row r="97" spans="1:15" ht="20.100000000000001" customHeight="1">
      <c r="A97" s="238"/>
      <c r="B97" s="233"/>
      <c r="C97" s="234"/>
      <c r="D97" s="235"/>
      <c r="E97" s="233"/>
      <c r="F97" s="233"/>
      <c r="G97" s="233"/>
      <c r="H97" s="233"/>
      <c r="I97" s="233"/>
      <c r="J97" s="233"/>
      <c r="K97" s="233"/>
      <c r="L97" s="233"/>
      <c r="M97" s="233"/>
      <c r="N97" s="233"/>
      <c r="O97" s="233"/>
    </row>
    <row r="98" spans="1:15" ht="20.100000000000001" customHeight="1">
      <c r="A98" s="238"/>
      <c r="B98" s="233"/>
      <c r="C98" s="234"/>
      <c r="D98" s="235"/>
      <c r="E98" s="233"/>
      <c r="F98" s="233"/>
      <c r="G98" s="233"/>
      <c r="H98" s="233"/>
      <c r="I98" s="233"/>
      <c r="J98" s="233"/>
      <c r="K98" s="233"/>
      <c r="L98" s="233"/>
      <c r="M98" s="233"/>
      <c r="N98" s="233"/>
      <c r="O98" s="233"/>
    </row>
    <row r="99" spans="1:15" ht="20.100000000000001" customHeight="1">
      <c r="A99" s="238"/>
      <c r="B99" s="233"/>
      <c r="C99" s="234"/>
      <c r="D99" s="235"/>
      <c r="E99" s="233"/>
      <c r="F99" s="233"/>
      <c r="G99" s="233"/>
      <c r="H99" s="233"/>
      <c r="I99" s="233"/>
      <c r="J99" s="233"/>
      <c r="K99" s="233"/>
      <c r="L99" s="233"/>
      <c r="M99" s="233"/>
      <c r="N99" s="233"/>
      <c r="O99" s="233"/>
    </row>
    <row r="100" spans="1:15" ht="20.100000000000001" customHeight="1">
      <c r="A100" s="238"/>
      <c r="B100" s="233"/>
      <c r="C100" s="234"/>
      <c r="D100" s="235"/>
      <c r="E100" s="233"/>
      <c r="F100" s="233"/>
      <c r="G100" s="233"/>
      <c r="H100" s="233"/>
      <c r="I100" s="233"/>
      <c r="J100" s="233"/>
      <c r="K100" s="233"/>
      <c r="L100" s="233"/>
      <c r="M100" s="233"/>
      <c r="N100" s="233"/>
      <c r="O100" s="233"/>
    </row>
    <row r="101" spans="1:15" ht="20.100000000000001" customHeight="1">
      <c r="A101" s="238"/>
      <c r="B101" s="233"/>
      <c r="C101" s="234"/>
      <c r="D101" s="235"/>
      <c r="E101" s="233"/>
      <c r="F101" s="233"/>
      <c r="G101" s="233"/>
      <c r="H101" s="233"/>
      <c r="I101" s="233"/>
      <c r="J101" s="233"/>
      <c r="K101" s="233"/>
      <c r="L101" s="233"/>
      <c r="M101" s="233"/>
      <c r="N101" s="233"/>
      <c r="O101" s="233"/>
    </row>
    <row r="102" spans="1:15" ht="20.100000000000001" customHeight="1">
      <c r="A102" s="238"/>
      <c r="B102" s="233"/>
      <c r="C102" s="234"/>
      <c r="D102" s="235"/>
      <c r="E102" s="233"/>
      <c r="F102" s="233"/>
      <c r="G102" s="233"/>
      <c r="H102" s="233"/>
      <c r="I102" s="233"/>
      <c r="J102" s="233"/>
      <c r="K102" s="233"/>
      <c r="L102" s="233"/>
      <c r="M102" s="233"/>
      <c r="N102" s="233"/>
      <c r="O102" s="233"/>
    </row>
    <row r="103" spans="1:15" ht="20.100000000000001" customHeight="1">
      <c r="A103" s="238"/>
      <c r="B103" s="233"/>
      <c r="C103" s="234"/>
      <c r="D103" s="235"/>
      <c r="E103" s="233"/>
      <c r="F103" s="233"/>
      <c r="G103" s="233"/>
      <c r="H103" s="233"/>
      <c r="I103" s="233"/>
      <c r="J103" s="233"/>
      <c r="K103" s="233"/>
      <c r="L103" s="233"/>
      <c r="M103" s="233"/>
      <c r="N103" s="233"/>
      <c r="O103" s="233"/>
    </row>
    <row r="104" spans="1:15" ht="20.100000000000001" customHeight="1">
      <c r="A104" s="238"/>
      <c r="B104" s="233"/>
      <c r="C104" s="234"/>
      <c r="D104" s="235"/>
      <c r="E104" s="233"/>
      <c r="F104" s="233"/>
      <c r="G104" s="233"/>
      <c r="H104" s="233"/>
      <c r="I104" s="233"/>
      <c r="J104" s="233"/>
      <c r="K104" s="233"/>
      <c r="L104" s="233"/>
      <c r="M104" s="233"/>
      <c r="N104" s="233"/>
      <c r="O104" s="233"/>
    </row>
    <row r="105" spans="1:15" ht="20.100000000000001" customHeight="1">
      <c r="A105" s="238"/>
      <c r="B105" s="233"/>
      <c r="C105" s="234"/>
      <c r="D105" s="235"/>
      <c r="E105" s="233"/>
      <c r="F105" s="233"/>
      <c r="G105" s="233"/>
      <c r="H105" s="233"/>
      <c r="I105" s="233"/>
      <c r="J105" s="233"/>
      <c r="K105" s="233"/>
      <c r="L105" s="233"/>
      <c r="M105" s="233"/>
      <c r="N105" s="233"/>
      <c r="O105" s="233"/>
    </row>
    <row r="106" spans="1:15" ht="20.100000000000001" customHeight="1">
      <c r="A106" s="238"/>
      <c r="B106" s="233"/>
      <c r="C106" s="234"/>
      <c r="D106" s="235"/>
      <c r="E106" s="233"/>
      <c r="F106" s="233"/>
      <c r="G106" s="233"/>
      <c r="H106" s="233"/>
      <c r="I106" s="233"/>
      <c r="J106" s="233"/>
      <c r="K106" s="233"/>
      <c r="L106" s="233"/>
      <c r="M106" s="233"/>
      <c r="N106" s="233"/>
      <c r="O106" s="233"/>
    </row>
    <row r="107" spans="1:15" ht="20.100000000000001" customHeight="1">
      <c r="A107" s="238"/>
      <c r="B107" s="233"/>
      <c r="C107" s="234"/>
      <c r="D107" s="235"/>
      <c r="E107" s="233"/>
      <c r="F107" s="233"/>
      <c r="G107" s="233"/>
      <c r="H107" s="233"/>
      <c r="I107" s="233"/>
      <c r="J107" s="233"/>
      <c r="K107" s="233"/>
      <c r="L107" s="233"/>
      <c r="M107" s="233"/>
      <c r="N107" s="233"/>
      <c r="O107" s="233"/>
    </row>
    <row r="108" spans="1:15" ht="20.100000000000001" customHeight="1">
      <c r="A108" s="238"/>
      <c r="B108" s="233"/>
      <c r="C108" s="234"/>
      <c r="D108" s="235"/>
      <c r="E108" s="233"/>
      <c r="F108" s="233"/>
      <c r="G108" s="233"/>
      <c r="H108" s="233"/>
      <c r="I108" s="233"/>
      <c r="J108" s="233"/>
      <c r="K108" s="233"/>
      <c r="L108" s="233"/>
      <c r="M108" s="233"/>
      <c r="N108" s="233"/>
      <c r="O108" s="233"/>
    </row>
    <row r="109" spans="1:15" ht="20.100000000000001" customHeight="1">
      <c r="A109" s="238"/>
      <c r="B109" s="233"/>
      <c r="C109" s="234"/>
      <c r="D109" s="235"/>
      <c r="E109" s="233"/>
      <c r="F109" s="233"/>
      <c r="G109" s="233"/>
      <c r="H109" s="233"/>
      <c r="I109" s="233"/>
      <c r="J109" s="233"/>
      <c r="K109" s="233"/>
      <c r="L109" s="233"/>
      <c r="M109" s="233"/>
      <c r="N109" s="233"/>
      <c r="O109" s="233"/>
    </row>
    <row r="110" spans="1:15" ht="20.100000000000001" customHeight="1">
      <c r="A110" s="238"/>
      <c r="B110" s="233"/>
      <c r="C110" s="234"/>
      <c r="D110" s="235"/>
      <c r="E110" s="233"/>
      <c r="F110" s="233"/>
      <c r="G110" s="233"/>
      <c r="H110" s="233"/>
      <c r="I110" s="233"/>
      <c r="J110" s="233"/>
      <c r="K110" s="233"/>
      <c r="L110" s="233"/>
      <c r="M110" s="233"/>
      <c r="N110" s="233"/>
      <c r="O110" s="233"/>
    </row>
    <row r="111" spans="1:15" ht="20.100000000000001" customHeight="1">
      <c r="A111" s="238"/>
      <c r="B111" s="233"/>
      <c r="C111" s="234"/>
      <c r="D111" s="235"/>
      <c r="E111" s="233"/>
      <c r="F111" s="233"/>
      <c r="G111" s="233"/>
      <c r="H111" s="233"/>
      <c r="I111" s="233"/>
      <c r="J111" s="233"/>
      <c r="K111" s="233"/>
      <c r="L111" s="233"/>
      <c r="M111" s="233"/>
      <c r="N111" s="233"/>
      <c r="O111" s="233"/>
    </row>
    <row r="112" spans="1:15" ht="20.100000000000001" customHeight="1">
      <c r="A112" s="238"/>
      <c r="B112" s="233"/>
      <c r="C112" s="234"/>
      <c r="D112" s="235"/>
      <c r="E112" s="233"/>
      <c r="F112" s="233"/>
      <c r="G112" s="233"/>
      <c r="H112" s="233"/>
      <c r="I112" s="233"/>
      <c r="J112" s="233"/>
      <c r="K112" s="233"/>
      <c r="L112" s="233"/>
      <c r="M112" s="233"/>
      <c r="N112" s="233"/>
      <c r="O112" s="233"/>
    </row>
    <row r="113" spans="1:15" ht="20.100000000000001" customHeight="1">
      <c r="A113" s="238"/>
      <c r="B113" s="233"/>
      <c r="C113" s="234"/>
      <c r="D113" s="235"/>
      <c r="E113" s="233"/>
      <c r="F113" s="233"/>
      <c r="G113" s="233"/>
      <c r="H113" s="233"/>
      <c r="I113" s="233"/>
      <c r="J113" s="233"/>
      <c r="K113" s="233"/>
      <c r="L113" s="233"/>
      <c r="M113" s="233"/>
      <c r="N113" s="233"/>
      <c r="O113" s="233"/>
    </row>
    <row r="114" spans="1:15" ht="20.100000000000001" customHeight="1">
      <c r="A114" s="238"/>
      <c r="B114" s="233"/>
      <c r="C114" s="234"/>
      <c r="D114" s="235"/>
      <c r="E114" s="233"/>
      <c r="F114" s="233"/>
      <c r="G114" s="233"/>
      <c r="H114" s="233"/>
      <c r="I114" s="233"/>
      <c r="J114" s="233"/>
      <c r="K114" s="233"/>
      <c r="L114" s="233"/>
      <c r="M114" s="233"/>
      <c r="N114" s="233"/>
      <c r="O114" s="233"/>
    </row>
    <row r="115" spans="1:15" ht="20.100000000000001" customHeight="1">
      <c r="A115" s="238"/>
      <c r="B115" s="233"/>
      <c r="C115" s="234"/>
      <c r="D115" s="235"/>
      <c r="E115" s="233"/>
      <c r="F115" s="233"/>
      <c r="G115" s="233"/>
      <c r="H115" s="233"/>
      <c r="I115" s="233"/>
      <c r="J115" s="233"/>
      <c r="K115" s="233"/>
      <c r="L115" s="233"/>
      <c r="M115" s="233"/>
      <c r="N115" s="233"/>
      <c r="O115" s="233"/>
    </row>
    <row r="116" spans="1:15" ht="20.100000000000001" customHeight="1">
      <c r="A116" s="238"/>
      <c r="B116" s="233"/>
      <c r="C116" s="234"/>
      <c r="D116" s="235"/>
      <c r="E116" s="233"/>
      <c r="F116" s="233"/>
      <c r="G116" s="233"/>
      <c r="H116" s="233"/>
      <c r="I116" s="233"/>
      <c r="J116" s="233"/>
      <c r="K116" s="233"/>
      <c r="L116" s="233"/>
      <c r="M116" s="233"/>
      <c r="N116" s="233"/>
      <c r="O116" s="233"/>
    </row>
    <row r="117" spans="1:15" ht="20.100000000000001" customHeight="1">
      <c r="A117" s="238"/>
      <c r="B117" s="233"/>
      <c r="C117" s="234"/>
      <c r="D117" s="235"/>
      <c r="E117" s="233"/>
      <c r="F117" s="233"/>
      <c r="G117" s="233"/>
      <c r="H117" s="233"/>
      <c r="I117" s="233"/>
      <c r="J117" s="233"/>
      <c r="K117" s="233"/>
      <c r="L117" s="233"/>
      <c r="M117" s="233"/>
      <c r="N117" s="233"/>
      <c r="O117" s="233"/>
    </row>
    <row r="118" spans="1:15" ht="20.100000000000001" customHeight="1">
      <c r="A118" s="238"/>
      <c r="B118" s="233"/>
      <c r="C118" s="234"/>
      <c r="D118" s="235"/>
      <c r="E118" s="233"/>
      <c r="F118" s="233"/>
      <c r="G118" s="233"/>
      <c r="H118" s="233"/>
      <c r="I118" s="233"/>
      <c r="J118" s="233"/>
      <c r="K118" s="233"/>
      <c r="L118" s="233"/>
      <c r="M118" s="233"/>
      <c r="N118" s="233"/>
      <c r="O118" s="233"/>
    </row>
    <row r="119" spans="1:15" ht="20.100000000000001" customHeight="1">
      <c r="A119" s="238"/>
      <c r="B119" s="233"/>
      <c r="C119" s="234"/>
      <c r="D119" s="235"/>
      <c r="E119" s="233"/>
      <c r="F119" s="233"/>
      <c r="G119" s="233"/>
      <c r="H119" s="233"/>
      <c r="I119" s="233"/>
      <c r="J119" s="233"/>
      <c r="K119" s="233"/>
      <c r="L119" s="233"/>
      <c r="M119" s="233"/>
      <c r="N119" s="233"/>
      <c r="O119" s="233"/>
    </row>
    <row r="120" spans="1:15" ht="20.100000000000001" customHeight="1">
      <c r="A120" s="238"/>
      <c r="B120" s="233"/>
      <c r="C120" s="234"/>
      <c r="D120" s="235"/>
      <c r="E120" s="233"/>
      <c r="F120" s="233"/>
      <c r="G120" s="233"/>
      <c r="H120" s="233"/>
      <c r="I120" s="233"/>
      <c r="J120" s="233"/>
      <c r="K120" s="233"/>
      <c r="L120" s="233"/>
      <c r="M120" s="233"/>
      <c r="N120" s="233"/>
      <c r="O120" s="233"/>
    </row>
    <row r="121" spans="1:15" ht="20.100000000000001" customHeight="1">
      <c r="A121" s="238"/>
      <c r="B121" s="233"/>
      <c r="C121" s="234"/>
      <c r="D121" s="235"/>
      <c r="E121" s="233"/>
      <c r="F121" s="233"/>
      <c r="G121" s="233"/>
      <c r="H121" s="233"/>
      <c r="I121" s="233"/>
      <c r="J121" s="233"/>
      <c r="K121" s="233"/>
      <c r="L121" s="233"/>
      <c r="M121" s="233"/>
      <c r="N121" s="233"/>
      <c r="O121" s="233"/>
    </row>
    <row r="122" spans="1:15" ht="20.100000000000001" customHeight="1">
      <c r="A122" s="238"/>
      <c r="B122" s="233"/>
      <c r="C122" s="234"/>
      <c r="D122" s="235"/>
      <c r="E122" s="233"/>
      <c r="F122" s="233"/>
      <c r="G122" s="233"/>
      <c r="H122" s="233"/>
      <c r="I122" s="233"/>
      <c r="J122" s="233"/>
      <c r="K122" s="233"/>
      <c r="L122" s="233"/>
      <c r="M122" s="233"/>
      <c r="N122" s="233"/>
      <c r="O122" s="233"/>
    </row>
    <row r="123" spans="1:15" ht="20.100000000000001" customHeight="1">
      <c r="A123" s="238"/>
      <c r="B123" s="233"/>
      <c r="C123" s="234"/>
      <c r="D123" s="235"/>
      <c r="E123" s="233"/>
      <c r="F123" s="233"/>
      <c r="G123" s="233"/>
      <c r="H123" s="233"/>
      <c r="I123" s="233"/>
      <c r="J123" s="233"/>
      <c r="K123" s="233"/>
      <c r="L123" s="233"/>
      <c r="M123" s="233"/>
      <c r="N123" s="233"/>
      <c r="O123" s="233"/>
    </row>
    <row r="124" spans="1:15" ht="20.100000000000001" customHeight="1">
      <c r="A124" s="238"/>
      <c r="B124" s="233"/>
      <c r="C124" s="234"/>
      <c r="D124" s="235"/>
      <c r="E124" s="233"/>
      <c r="F124" s="233"/>
      <c r="G124" s="233"/>
      <c r="H124" s="233"/>
      <c r="I124" s="233"/>
      <c r="J124" s="233"/>
      <c r="K124" s="233"/>
      <c r="L124" s="233"/>
      <c r="M124" s="233"/>
      <c r="N124" s="233"/>
      <c r="O124" s="233"/>
    </row>
    <row r="125" spans="1:15" ht="20.100000000000001" customHeight="1">
      <c r="A125" s="238"/>
      <c r="B125" s="233"/>
      <c r="C125" s="234"/>
      <c r="D125" s="235"/>
      <c r="E125" s="233"/>
      <c r="F125" s="233"/>
      <c r="G125" s="233"/>
      <c r="H125" s="233"/>
      <c r="I125" s="233"/>
      <c r="J125" s="233"/>
      <c r="K125" s="233"/>
      <c r="L125" s="233"/>
      <c r="M125" s="233"/>
      <c r="N125" s="233"/>
      <c r="O125" s="233"/>
    </row>
    <row r="126" spans="1:15" ht="20.100000000000001" customHeight="1">
      <c r="A126" s="238"/>
      <c r="B126" s="233"/>
      <c r="C126" s="234"/>
      <c r="D126" s="235"/>
      <c r="E126" s="233"/>
      <c r="F126" s="233"/>
      <c r="G126" s="233"/>
      <c r="H126" s="233"/>
      <c r="I126" s="233"/>
      <c r="J126" s="233"/>
      <c r="K126" s="233"/>
      <c r="L126" s="233"/>
      <c r="M126" s="233"/>
      <c r="N126" s="233"/>
      <c r="O126" s="233"/>
    </row>
    <row r="127" spans="1:15" ht="20.100000000000001" customHeight="1">
      <c r="A127" s="238"/>
      <c r="B127" s="233"/>
      <c r="C127" s="234"/>
      <c r="D127" s="235"/>
      <c r="E127" s="233"/>
      <c r="F127" s="233"/>
      <c r="G127" s="233"/>
      <c r="H127" s="233"/>
      <c r="I127" s="233"/>
      <c r="J127" s="233"/>
      <c r="K127" s="233"/>
      <c r="L127" s="233"/>
      <c r="M127" s="233"/>
      <c r="N127" s="233"/>
      <c r="O127" s="233"/>
    </row>
    <row r="128" spans="1:15" ht="20.100000000000001" customHeight="1">
      <c r="A128" s="238"/>
      <c r="B128" s="233"/>
      <c r="C128" s="234"/>
      <c r="D128" s="235"/>
      <c r="E128" s="233"/>
      <c r="F128" s="233"/>
      <c r="G128" s="233"/>
      <c r="H128" s="233"/>
      <c r="I128" s="233"/>
      <c r="J128" s="233"/>
      <c r="K128" s="233"/>
      <c r="L128" s="233"/>
      <c r="M128" s="233"/>
      <c r="N128" s="233"/>
      <c r="O128" s="233"/>
    </row>
    <row r="129" spans="1:15" ht="20.100000000000001" customHeight="1">
      <c r="A129" s="238"/>
      <c r="B129" s="233"/>
      <c r="C129" s="234"/>
      <c r="D129" s="235"/>
      <c r="E129" s="233"/>
      <c r="F129" s="233"/>
      <c r="G129" s="233"/>
      <c r="H129" s="233"/>
      <c r="I129" s="233"/>
      <c r="J129" s="233"/>
      <c r="K129" s="233"/>
      <c r="L129" s="233"/>
      <c r="M129" s="233"/>
      <c r="N129" s="233"/>
      <c r="O129" s="233"/>
    </row>
    <row r="130" spans="1:15" ht="20.100000000000001" customHeight="1">
      <c r="A130" s="238"/>
      <c r="B130" s="233"/>
      <c r="C130" s="234"/>
      <c r="D130" s="235"/>
      <c r="E130" s="233"/>
      <c r="F130" s="233"/>
      <c r="G130" s="233"/>
      <c r="H130" s="233"/>
      <c r="I130" s="233"/>
      <c r="J130" s="233"/>
      <c r="K130" s="233"/>
      <c r="L130" s="233"/>
      <c r="M130" s="233"/>
      <c r="N130" s="233"/>
      <c r="O130" s="233"/>
    </row>
    <row r="131" spans="1:15" ht="20.100000000000001" customHeight="1">
      <c r="A131" s="238"/>
      <c r="B131" s="233"/>
      <c r="C131" s="234"/>
      <c r="D131" s="235"/>
      <c r="E131" s="233"/>
      <c r="F131" s="233"/>
      <c r="G131" s="233"/>
      <c r="H131" s="233"/>
      <c r="I131" s="233"/>
      <c r="J131" s="233"/>
      <c r="K131" s="233"/>
      <c r="L131" s="233"/>
      <c r="M131" s="233"/>
      <c r="N131" s="233"/>
      <c r="O131" s="233"/>
    </row>
    <row r="132" spans="1:15" ht="20.100000000000001" customHeight="1">
      <c r="A132" s="238"/>
      <c r="B132" s="233"/>
      <c r="C132" s="234"/>
      <c r="D132" s="235"/>
      <c r="E132" s="233"/>
      <c r="F132" s="233"/>
      <c r="G132" s="233"/>
      <c r="H132" s="233"/>
      <c r="I132" s="233"/>
      <c r="J132" s="233"/>
      <c r="K132" s="233"/>
      <c r="L132" s="233"/>
      <c r="M132" s="233"/>
      <c r="N132" s="233"/>
      <c r="O132" s="233"/>
    </row>
    <row r="133" spans="1:15" ht="20.100000000000001" customHeight="1">
      <c r="A133" s="238"/>
      <c r="B133" s="233"/>
      <c r="C133" s="234"/>
      <c r="D133" s="235"/>
      <c r="E133" s="233"/>
      <c r="F133" s="233"/>
      <c r="G133" s="233"/>
      <c r="H133" s="233"/>
      <c r="I133" s="233"/>
      <c r="J133" s="233"/>
      <c r="K133" s="233"/>
      <c r="L133" s="233"/>
      <c r="M133" s="233"/>
      <c r="N133" s="233"/>
      <c r="O133" s="233"/>
    </row>
    <row r="134" spans="1:15" ht="20.100000000000001" customHeight="1">
      <c r="A134" s="238"/>
      <c r="B134" s="233"/>
      <c r="C134" s="234"/>
      <c r="D134" s="235"/>
      <c r="E134" s="233"/>
      <c r="F134" s="233"/>
      <c r="G134" s="233"/>
      <c r="H134" s="233"/>
      <c r="I134" s="233"/>
      <c r="J134" s="233"/>
      <c r="K134" s="233"/>
      <c r="L134" s="233"/>
      <c r="M134" s="233"/>
      <c r="N134" s="233"/>
      <c r="O134" s="233"/>
    </row>
    <row r="135" spans="1:15" ht="20.100000000000001" customHeight="1">
      <c r="A135" s="238"/>
      <c r="B135" s="233"/>
      <c r="C135" s="234"/>
      <c r="D135" s="235"/>
      <c r="E135" s="233"/>
      <c r="F135" s="233"/>
      <c r="G135" s="233"/>
      <c r="H135" s="233"/>
      <c r="I135" s="233"/>
      <c r="J135" s="233"/>
      <c r="K135" s="233"/>
      <c r="L135" s="233"/>
      <c r="M135" s="233"/>
      <c r="N135" s="233"/>
      <c r="O135" s="233"/>
    </row>
    <row r="136" spans="1:15" ht="20.100000000000001" customHeight="1">
      <c r="A136" s="238"/>
      <c r="B136" s="233"/>
      <c r="C136" s="234"/>
      <c r="D136" s="235"/>
      <c r="E136" s="233"/>
      <c r="F136" s="233"/>
      <c r="G136" s="233"/>
      <c r="H136" s="233"/>
      <c r="I136" s="233"/>
      <c r="J136" s="233"/>
      <c r="K136" s="233"/>
      <c r="L136" s="233"/>
      <c r="M136" s="233"/>
      <c r="N136" s="233"/>
      <c r="O136" s="233"/>
    </row>
    <row r="137" spans="1:15" ht="20.100000000000001" customHeight="1">
      <c r="A137" s="238"/>
      <c r="B137" s="233"/>
      <c r="C137" s="234"/>
      <c r="D137" s="235"/>
      <c r="E137" s="233"/>
      <c r="F137" s="233"/>
      <c r="G137" s="233"/>
      <c r="H137" s="233"/>
      <c r="I137" s="233"/>
      <c r="J137" s="233"/>
      <c r="K137" s="233"/>
      <c r="L137" s="233"/>
      <c r="M137" s="233"/>
      <c r="N137" s="233"/>
      <c r="O137" s="233"/>
    </row>
    <row r="138" spans="1:15" ht="20.100000000000001" customHeight="1">
      <c r="A138" s="238"/>
      <c r="B138" s="233"/>
      <c r="C138" s="234"/>
      <c r="D138" s="235"/>
      <c r="E138" s="233"/>
      <c r="F138" s="233"/>
      <c r="G138" s="233"/>
      <c r="H138" s="233"/>
      <c r="I138" s="233"/>
      <c r="J138" s="233"/>
      <c r="K138" s="233"/>
      <c r="L138" s="233"/>
      <c r="M138" s="233"/>
      <c r="N138" s="233"/>
      <c r="O138" s="233"/>
    </row>
    <row r="139" spans="1:15" ht="20.100000000000001" customHeight="1">
      <c r="A139" s="238"/>
      <c r="B139" s="233"/>
      <c r="C139" s="234"/>
      <c r="D139" s="235"/>
      <c r="E139" s="233"/>
      <c r="F139" s="233"/>
      <c r="G139" s="233"/>
      <c r="H139" s="233"/>
      <c r="I139" s="233"/>
      <c r="J139" s="233"/>
      <c r="K139" s="233"/>
      <c r="L139" s="233"/>
      <c r="M139" s="233"/>
      <c r="N139" s="233"/>
      <c r="O139" s="233"/>
    </row>
    <row r="140" spans="1:15" ht="20.100000000000001" customHeight="1">
      <c r="A140" s="238"/>
      <c r="B140" s="233"/>
      <c r="C140" s="234"/>
      <c r="D140" s="235"/>
      <c r="E140" s="233"/>
      <c r="F140" s="233"/>
      <c r="G140" s="233"/>
      <c r="H140" s="233"/>
      <c r="I140" s="233"/>
      <c r="J140" s="233"/>
      <c r="K140" s="233"/>
      <c r="L140" s="233"/>
      <c r="M140" s="233"/>
      <c r="N140" s="233"/>
      <c r="O140" s="233"/>
    </row>
    <row r="141" spans="1:15" ht="20.100000000000001" customHeight="1">
      <c r="A141" s="238"/>
      <c r="B141" s="233"/>
      <c r="C141" s="234"/>
      <c r="D141" s="235"/>
      <c r="E141" s="233"/>
      <c r="F141" s="233"/>
      <c r="G141" s="233"/>
      <c r="H141" s="233"/>
      <c r="I141" s="233"/>
      <c r="J141" s="233"/>
      <c r="K141" s="233"/>
      <c r="L141" s="233"/>
      <c r="M141" s="233"/>
      <c r="N141" s="233"/>
      <c r="O141" s="233"/>
    </row>
    <row r="142" spans="1:15" ht="20.100000000000001" customHeight="1">
      <c r="A142" s="238"/>
      <c r="B142" s="233"/>
      <c r="C142" s="234"/>
      <c r="D142" s="235"/>
      <c r="E142" s="233"/>
      <c r="F142" s="233"/>
      <c r="G142" s="233"/>
      <c r="H142" s="233"/>
      <c r="I142" s="233"/>
      <c r="J142" s="233"/>
      <c r="K142" s="233"/>
      <c r="L142" s="233"/>
      <c r="M142" s="233"/>
      <c r="N142" s="233"/>
      <c r="O142" s="233"/>
    </row>
    <row r="143" spans="1:15" ht="20.100000000000001" customHeight="1">
      <c r="A143" s="238"/>
      <c r="B143" s="233"/>
      <c r="C143" s="234"/>
      <c r="D143" s="235"/>
      <c r="E143" s="233"/>
      <c r="F143" s="233"/>
      <c r="G143" s="233"/>
      <c r="H143" s="233"/>
      <c r="I143" s="233"/>
      <c r="J143" s="233"/>
      <c r="K143" s="233"/>
      <c r="L143" s="233"/>
      <c r="M143" s="233"/>
      <c r="N143" s="233"/>
      <c r="O143" s="233"/>
    </row>
    <row r="144" spans="1:15" ht="20.100000000000001" customHeight="1">
      <c r="A144" s="238"/>
      <c r="B144" s="233"/>
      <c r="C144" s="234"/>
      <c r="D144" s="235"/>
      <c r="E144" s="233"/>
      <c r="F144" s="233"/>
      <c r="G144" s="233"/>
      <c r="H144" s="233"/>
      <c r="I144" s="233"/>
      <c r="J144" s="233"/>
      <c r="K144" s="233"/>
      <c r="L144" s="233"/>
      <c r="M144" s="233"/>
      <c r="N144" s="233"/>
      <c r="O144" s="233"/>
    </row>
    <row r="145" spans="1:15" ht="20.100000000000001" customHeight="1">
      <c r="A145" s="238"/>
      <c r="B145" s="233"/>
      <c r="C145" s="234"/>
      <c r="D145" s="235"/>
      <c r="E145" s="233"/>
      <c r="F145" s="233"/>
      <c r="G145" s="233"/>
      <c r="H145" s="233"/>
      <c r="I145" s="233"/>
      <c r="J145" s="233"/>
      <c r="K145" s="233"/>
      <c r="L145" s="233"/>
      <c r="M145" s="233"/>
      <c r="N145" s="233"/>
      <c r="O145" s="233"/>
    </row>
    <row r="146" spans="1:15" ht="20.100000000000001" customHeight="1">
      <c r="A146" s="238"/>
      <c r="B146" s="233"/>
      <c r="C146" s="234"/>
      <c r="D146" s="235"/>
      <c r="E146" s="233"/>
      <c r="F146" s="233"/>
      <c r="G146" s="233"/>
      <c r="H146" s="233"/>
      <c r="I146" s="233"/>
      <c r="J146" s="233"/>
      <c r="K146" s="233"/>
      <c r="L146" s="233"/>
      <c r="M146" s="233"/>
      <c r="N146" s="233"/>
      <c r="O146" s="233"/>
    </row>
    <row r="147" spans="1:15" ht="20.100000000000001" customHeight="1">
      <c r="A147" s="238"/>
      <c r="B147" s="233"/>
      <c r="C147" s="234"/>
      <c r="D147" s="235"/>
      <c r="E147" s="233"/>
      <c r="F147" s="233"/>
      <c r="G147" s="233"/>
      <c r="H147" s="233"/>
      <c r="I147" s="233"/>
      <c r="J147" s="233"/>
      <c r="K147" s="233"/>
      <c r="L147" s="233"/>
      <c r="M147" s="233"/>
      <c r="N147" s="233"/>
      <c r="O147" s="233"/>
    </row>
    <row r="148" spans="1:15" ht="20.100000000000001" customHeight="1">
      <c r="A148" s="238"/>
      <c r="B148" s="233"/>
      <c r="C148" s="234"/>
      <c r="D148" s="235"/>
      <c r="E148" s="233"/>
      <c r="F148" s="233"/>
      <c r="G148" s="233"/>
      <c r="H148" s="233"/>
      <c r="I148" s="233"/>
      <c r="J148" s="233"/>
      <c r="K148" s="233"/>
      <c r="L148" s="233"/>
      <c r="M148" s="233"/>
      <c r="N148" s="233"/>
      <c r="O148" s="233"/>
    </row>
    <row r="149" spans="1:15" ht="20.100000000000001" customHeight="1">
      <c r="A149" s="238"/>
      <c r="B149" s="233"/>
      <c r="C149" s="234"/>
      <c r="D149" s="235"/>
      <c r="E149" s="233"/>
      <c r="F149" s="233"/>
      <c r="G149" s="233"/>
      <c r="H149" s="233"/>
      <c r="I149" s="233"/>
      <c r="J149" s="233"/>
      <c r="K149" s="233"/>
      <c r="L149" s="233"/>
      <c r="M149" s="233"/>
      <c r="N149" s="233"/>
      <c r="O149" s="233"/>
    </row>
    <row r="150" spans="1:15" ht="20.100000000000001" customHeight="1">
      <c r="A150" s="238"/>
      <c r="B150" s="233"/>
      <c r="C150" s="234"/>
      <c r="D150" s="235"/>
      <c r="E150" s="233"/>
      <c r="F150" s="233"/>
      <c r="G150" s="233"/>
      <c r="H150" s="233"/>
      <c r="I150" s="233"/>
      <c r="J150" s="233"/>
      <c r="K150" s="233"/>
      <c r="L150" s="233"/>
      <c r="M150" s="233"/>
      <c r="N150" s="233"/>
      <c r="O150" s="233"/>
    </row>
    <row r="151" spans="1:15" ht="20.100000000000001" customHeight="1">
      <c r="A151" s="238"/>
      <c r="B151" s="233"/>
      <c r="C151" s="234"/>
      <c r="D151" s="235"/>
      <c r="E151" s="233"/>
      <c r="F151" s="233"/>
      <c r="G151" s="233"/>
      <c r="H151" s="233"/>
      <c r="I151" s="233"/>
      <c r="J151" s="233"/>
      <c r="K151" s="233"/>
      <c r="L151" s="233"/>
      <c r="M151" s="233"/>
      <c r="N151" s="233"/>
      <c r="O151" s="233"/>
    </row>
    <row r="152" spans="1:15" ht="20.100000000000001" customHeight="1">
      <c r="A152" s="238"/>
      <c r="B152" s="233"/>
      <c r="C152" s="234"/>
      <c r="D152" s="235"/>
      <c r="E152" s="233"/>
      <c r="F152" s="233"/>
      <c r="G152" s="233"/>
      <c r="H152" s="233"/>
      <c r="I152" s="233"/>
      <c r="J152" s="233"/>
      <c r="K152" s="233"/>
      <c r="L152" s="233"/>
      <c r="M152" s="233"/>
      <c r="N152" s="233"/>
      <c r="O152" s="233"/>
    </row>
    <row r="153" spans="1:15" ht="20.100000000000001" customHeight="1">
      <c r="A153" s="238"/>
      <c r="B153" s="233"/>
      <c r="C153" s="234"/>
      <c r="D153" s="235"/>
      <c r="E153" s="233"/>
      <c r="F153" s="233"/>
      <c r="G153" s="233"/>
      <c r="H153" s="233"/>
      <c r="I153" s="233"/>
      <c r="J153" s="233"/>
      <c r="K153" s="233"/>
      <c r="L153" s="233"/>
      <c r="M153" s="233"/>
      <c r="N153" s="233"/>
      <c r="O153" s="233"/>
    </row>
    <row r="154" spans="1:15" ht="20.100000000000001" customHeight="1">
      <c r="A154" s="238"/>
      <c r="B154" s="233"/>
      <c r="C154" s="234"/>
      <c r="D154" s="235"/>
      <c r="E154" s="233"/>
      <c r="F154" s="233"/>
      <c r="G154" s="233"/>
      <c r="H154" s="233"/>
      <c r="I154" s="233"/>
      <c r="J154" s="233"/>
      <c r="K154" s="233"/>
      <c r="L154" s="233"/>
      <c r="M154" s="233"/>
      <c r="N154" s="233"/>
      <c r="O154" s="233"/>
    </row>
    <row r="155" spans="1:15" ht="20.100000000000001" customHeight="1">
      <c r="A155" s="238"/>
      <c r="B155" s="233"/>
      <c r="C155" s="234"/>
      <c r="D155" s="235"/>
      <c r="E155" s="233"/>
      <c r="F155" s="233"/>
      <c r="G155" s="233"/>
      <c r="H155" s="233"/>
      <c r="I155" s="233"/>
      <c r="J155" s="233"/>
      <c r="K155" s="233"/>
      <c r="L155" s="233"/>
      <c r="M155" s="233"/>
      <c r="N155" s="233"/>
      <c r="O155" s="233"/>
    </row>
    <row r="156" spans="1:15" ht="20.100000000000001" customHeight="1">
      <c r="A156" s="238"/>
      <c r="B156" s="233"/>
      <c r="C156" s="234"/>
      <c r="D156" s="235"/>
      <c r="E156" s="233"/>
      <c r="F156" s="233"/>
      <c r="G156" s="233"/>
      <c r="H156" s="233"/>
      <c r="I156" s="233"/>
      <c r="J156" s="233"/>
      <c r="K156" s="233"/>
      <c r="L156" s="233"/>
      <c r="M156" s="233"/>
      <c r="N156" s="233"/>
      <c r="O156" s="233"/>
    </row>
    <row r="157" spans="1:15" ht="20.100000000000001" customHeight="1">
      <c r="A157" s="238"/>
      <c r="B157" s="233"/>
      <c r="C157" s="234"/>
      <c r="D157" s="235"/>
      <c r="E157" s="233"/>
      <c r="F157" s="233"/>
      <c r="G157" s="233"/>
      <c r="H157" s="233"/>
      <c r="I157" s="233"/>
      <c r="J157" s="233"/>
      <c r="K157" s="233"/>
      <c r="L157" s="233"/>
      <c r="M157" s="233"/>
      <c r="N157" s="233"/>
      <c r="O157" s="233"/>
    </row>
    <row r="158" spans="1:15" ht="20.100000000000001" customHeight="1">
      <c r="A158" s="238"/>
      <c r="B158" s="233"/>
      <c r="C158" s="234"/>
      <c r="D158" s="235"/>
      <c r="E158" s="233"/>
      <c r="F158" s="233"/>
      <c r="G158" s="233"/>
      <c r="H158" s="233"/>
      <c r="I158" s="233"/>
      <c r="J158" s="233"/>
      <c r="K158" s="233"/>
      <c r="L158" s="233"/>
      <c r="M158" s="233"/>
      <c r="N158" s="233"/>
      <c r="O158" s="233"/>
    </row>
    <row r="159" spans="1:15" ht="20.100000000000001" customHeight="1">
      <c r="A159" s="238"/>
      <c r="B159" s="233"/>
      <c r="C159" s="234"/>
      <c r="D159" s="235"/>
      <c r="E159" s="233"/>
      <c r="F159" s="233"/>
      <c r="G159" s="233"/>
      <c r="H159" s="233"/>
      <c r="I159" s="233"/>
      <c r="J159" s="233"/>
      <c r="K159" s="233"/>
      <c r="L159" s="233"/>
      <c r="M159" s="233"/>
      <c r="N159" s="233"/>
      <c r="O159" s="233"/>
    </row>
    <row r="160" spans="1:15" ht="20.100000000000001" customHeight="1">
      <c r="A160" s="238"/>
      <c r="B160" s="233"/>
      <c r="C160" s="234"/>
      <c r="D160" s="235"/>
      <c r="E160" s="233"/>
      <c r="F160" s="233"/>
      <c r="G160" s="233"/>
      <c r="H160" s="233"/>
      <c r="I160" s="233"/>
      <c r="J160" s="233"/>
      <c r="K160" s="233"/>
      <c r="L160" s="233"/>
      <c r="M160" s="233"/>
      <c r="N160" s="233"/>
      <c r="O160" s="233"/>
    </row>
    <row r="161" spans="1:15" ht="20.100000000000001" customHeight="1">
      <c r="A161" s="238"/>
      <c r="B161" s="233"/>
      <c r="C161" s="234"/>
      <c r="D161" s="235"/>
      <c r="E161" s="233"/>
      <c r="F161" s="233"/>
      <c r="G161" s="233"/>
      <c r="H161" s="233"/>
      <c r="I161" s="233"/>
      <c r="J161" s="233"/>
      <c r="K161" s="233"/>
      <c r="L161" s="233"/>
      <c r="M161" s="233"/>
      <c r="N161" s="233"/>
      <c r="O161" s="233"/>
    </row>
    <row r="162" spans="1:15" ht="20.100000000000001" customHeight="1">
      <c r="A162" s="238"/>
      <c r="B162" s="233"/>
      <c r="C162" s="234"/>
      <c r="D162" s="235"/>
      <c r="E162" s="233"/>
      <c r="F162" s="233"/>
      <c r="G162" s="233"/>
      <c r="H162" s="233"/>
      <c r="I162" s="233"/>
      <c r="J162" s="233"/>
      <c r="K162" s="233"/>
      <c r="L162" s="233"/>
      <c r="M162" s="233"/>
      <c r="N162" s="233"/>
      <c r="O162" s="233"/>
    </row>
    <row r="163" spans="1:15" ht="20.100000000000001" customHeight="1">
      <c r="A163" s="238"/>
      <c r="B163" s="233"/>
      <c r="C163" s="234"/>
      <c r="D163" s="235"/>
      <c r="E163" s="233"/>
      <c r="F163" s="233"/>
      <c r="G163" s="233"/>
      <c r="H163" s="233"/>
      <c r="I163" s="233"/>
      <c r="J163" s="233"/>
      <c r="K163" s="233"/>
      <c r="L163" s="233"/>
      <c r="M163" s="233"/>
      <c r="N163" s="233"/>
      <c r="O163" s="233"/>
    </row>
    <row r="164" spans="1:15" ht="20.100000000000001" customHeight="1">
      <c r="A164" s="238"/>
      <c r="B164" s="233"/>
      <c r="C164" s="234"/>
      <c r="D164" s="235"/>
      <c r="E164" s="233"/>
      <c r="F164" s="233"/>
      <c r="G164" s="233"/>
      <c r="H164" s="233"/>
      <c r="I164" s="233"/>
      <c r="J164" s="233"/>
      <c r="K164" s="233"/>
      <c r="L164" s="233"/>
      <c r="M164" s="233"/>
      <c r="N164" s="233"/>
      <c r="O164" s="233"/>
    </row>
    <row r="165" spans="1:15" ht="20.100000000000001" customHeight="1">
      <c r="A165" s="238"/>
      <c r="B165" s="233"/>
      <c r="C165" s="234"/>
      <c r="D165" s="235"/>
      <c r="E165" s="233"/>
      <c r="F165" s="233"/>
      <c r="G165" s="233"/>
      <c r="H165" s="233"/>
      <c r="I165" s="233"/>
      <c r="J165" s="233"/>
      <c r="K165" s="233"/>
      <c r="L165" s="233"/>
      <c r="M165" s="233"/>
      <c r="N165" s="233"/>
      <c r="O165" s="233"/>
    </row>
    <row r="166" spans="1:15" ht="20.100000000000001" customHeight="1">
      <c r="A166" s="238"/>
      <c r="B166" s="233"/>
      <c r="C166" s="234"/>
      <c r="D166" s="235"/>
      <c r="E166" s="233"/>
      <c r="F166" s="233"/>
      <c r="G166" s="233"/>
      <c r="H166" s="233"/>
      <c r="I166" s="233"/>
      <c r="J166" s="233"/>
      <c r="K166" s="233"/>
      <c r="L166" s="233"/>
      <c r="M166" s="233"/>
      <c r="N166" s="233"/>
      <c r="O166" s="233"/>
    </row>
    <row r="167" spans="1:15" ht="20.100000000000001" customHeight="1">
      <c r="A167" s="238"/>
      <c r="B167" s="233"/>
      <c r="C167" s="234"/>
      <c r="D167" s="235"/>
      <c r="E167" s="233"/>
      <c r="F167" s="233"/>
      <c r="G167" s="233"/>
      <c r="H167" s="233"/>
      <c r="I167" s="233"/>
      <c r="J167" s="233"/>
      <c r="K167" s="233"/>
      <c r="L167" s="233"/>
      <c r="M167" s="233"/>
      <c r="N167" s="233"/>
      <c r="O167" s="233"/>
    </row>
    <row r="168" spans="1:15" ht="20.100000000000001" customHeight="1">
      <c r="A168" s="238"/>
      <c r="B168" s="233"/>
      <c r="C168" s="234"/>
      <c r="D168" s="235"/>
      <c r="E168" s="233"/>
      <c r="F168" s="233"/>
      <c r="G168" s="233"/>
      <c r="H168" s="233"/>
      <c r="I168" s="233"/>
      <c r="J168" s="233"/>
      <c r="K168" s="233"/>
      <c r="L168" s="233"/>
      <c r="M168" s="233"/>
      <c r="N168" s="233"/>
      <c r="O168" s="233"/>
    </row>
    <row r="169" spans="1:15" ht="20.100000000000001" customHeight="1">
      <c r="A169" s="238"/>
      <c r="B169" s="233"/>
      <c r="C169" s="234"/>
      <c r="D169" s="235"/>
      <c r="E169" s="233"/>
      <c r="F169" s="233"/>
      <c r="G169" s="233"/>
      <c r="H169" s="233"/>
      <c r="I169" s="233"/>
      <c r="J169" s="233"/>
      <c r="K169" s="233"/>
      <c r="L169" s="233"/>
      <c r="M169" s="233"/>
      <c r="N169" s="233"/>
      <c r="O169" s="233"/>
    </row>
    <row r="170" spans="1:15" ht="20.100000000000001" customHeight="1">
      <c r="A170" s="238"/>
      <c r="B170" s="233"/>
      <c r="C170" s="234"/>
      <c r="D170" s="235"/>
      <c r="E170" s="233"/>
      <c r="F170" s="233"/>
      <c r="G170" s="233"/>
      <c r="H170" s="233"/>
      <c r="I170" s="233"/>
      <c r="J170" s="233"/>
      <c r="K170" s="233"/>
      <c r="L170" s="233"/>
      <c r="M170" s="233"/>
      <c r="N170" s="233"/>
      <c r="O170" s="233"/>
    </row>
    <row r="171" spans="1:15" ht="20.100000000000001" customHeight="1">
      <c r="A171" s="238"/>
      <c r="B171" s="233"/>
      <c r="C171" s="234"/>
      <c r="D171" s="235"/>
      <c r="E171" s="233"/>
      <c r="F171" s="233"/>
      <c r="G171" s="233"/>
      <c r="H171" s="233"/>
      <c r="I171" s="233"/>
      <c r="J171" s="233"/>
      <c r="K171" s="233"/>
      <c r="L171" s="233"/>
      <c r="M171" s="233"/>
      <c r="N171" s="233"/>
      <c r="O171" s="233"/>
    </row>
    <row r="172" spans="1:15" ht="20.100000000000001" customHeight="1">
      <c r="A172" s="238"/>
      <c r="B172" s="233"/>
      <c r="C172" s="234"/>
      <c r="D172" s="235"/>
      <c r="E172" s="233"/>
      <c r="F172" s="233"/>
      <c r="G172" s="233"/>
      <c r="H172" s="233"/>
      <c r="I172" s="233"/>
      <c r="J172" s="233"/>
      <c r="K172" s="233"/>
      <c r="L172" s="233"/>
      <c r="M172" s="233"/>
      <c r="N172" s="233"/>
      <c r="O172" s="233"/>
    </row>
    <row r="173" spans="1:15" ht="20.100000000000001" customHeight="1">
      <c r="A173" s="238"/>
      <c r="B173" s="233"/>
      <c r="C173" s="234"/>
      <c r="D173" s="235"/>
      <c r="E173" s="233"/>
      <c r="F173" s="233"/>
      <c r="G173" s="233"/>
      <c r="H173" s="233"/>
      <c r="I173" s="233"/>
      <c r="J173" s="233"/>
      <c r="K173" s="233"/>
      <c r="L173" s="233"/>
      <c r="M173" s="233"/>
      <c r="N173" s="233"/>
      <c r="O173" s="233"/>
    </row>
    <row r="174" spans="1:15" ht="20.100000000000001" customHeight="1">
      <c r="A174" s="238"/>
      <c r="B174" s="233"/>
      <c r="C174" s="234"/>
      <c r="D174" s="235"/>
      <c r="E174" s="233"/>
      <c r="F174" s="233"/>
      <c r="G174" s="233"/>
      <c r="H174" s="233"/>
      <c r="I174" s="233"/>
      <c r="J174" s="233"/>
      <c r="K174" s="233"/>
      <c r="L174" s="233"/>
      <c r="M174" s="233"/>
      <c r="N174" s="233"/>
      <c r="O174" s="233"/>
    </row>
    <row r="175" spans="1:15" ht="20.100000000000001" customHeight="1">
      <c r="A175" s="238"/>
      <c r="B175" s="233"/>
      <c r="C175" s="234"/>
      <c r="D175" s="235"/>
      <c r="E175" s="233"/>
      <c r="F175" s="233"/>
      <c r="G175" s="233"/>
      <c r="H175" s="233"/>
      <c r="I175" s="233"/>
      <c r="J175" s="233"/>
      <c r="K175" s="233"/>
      <c r="L175" s="233"/>
      <c r="M175" s="233"/>
      <c r="N175" s="233"/>
      <c r="O175" s="233"/>
    </row>
    <row r="176" spans="1:15" ht="20.100000000000001" customHeight="1">
      <c r="A176" s="238"/>
      <c r="B176" s="233"/>
      <c r="C176" s="234"/>
      <c r="D176" s="235"/>
      <c r="E176" s="233"/>
      <c r="F176" s="233"/>
      <c r="G176" s="233"/>
      <c r="H176" s="233"/>
      <c r="I176" s="233"/>
      <c r="J176" s="233"/>
      <c r="K176" s="233"/>
      <c r="L176" s="233"/>
      <c r="M176" s="233"/>
      <c r="N176" s="233"/>
      <c r="O176" s="233"/>
    </row>
    <row r="177" spans="1:15" ht="20.100000000000001" customHeight="1">
      <c r="A177" s="238"/>
      <c r="B177" s="233"/>
      <c r="C177" s="234"/>
      <c r="D177" s="235"/>
      <c r="E177" s="233"/>
      <c r="F177" s="233"/>
      <c r="G177" s="233"/>
      <c r="H177" s="233"/>
      <c r="I177" s="233"/>
      <c r="J177" s="233"/>
      <c r="K177" s="233"/>
      <c r="L177" s="233"/>
      <c r="M177" s="233"/>
      <c r="N177" s="233"/>
      <c r="O177" s="233"/>
    </row>
    <row r="178" spans="1:15" ht="20.100000000000001" customHeight="1">
      <c r="A178" s="238"/>
      <c r="B178" s="233"/>
      <c r="C178" s="234"/>
      <c r="D178" s="235"/>
      <c r="E178" s="233"/>
      <c r="F178" s="233"/>
      <c r="G178" s="233"/>
      <c r="H178" s="233"/>
      <c r="I178" s="233"/>
      <c r="J178" s="233"/>
      <c r="K178" s="233"/>
      <c r="L178" s="233"/>
      <c r="M178" s="233"/>
      <c r="N178" s="233"/>
      <c r="O178" s="233"/>
    </row>
    <row r="179" spans="1:15" ht="20.100000000000001" customHeight="1">
      <c r="A179" s="238"/>
      <c r="B179" s="233"/>
      <c r="C179" s="234"/>
      <c r="D179" s="235"/>
      <c r="E179" s="233"/>
      <c r="F179" s="233"/>
      <c r="G179" s="233"/>
      <c r="H179" s="233"/>
      <c r="I179" s="233"/>
      <c r="J179" s="233"/>
      <c r="K179" s="233"/>
      <c r="L179" s="233"/>
      <c r="M179" s="233"/>
      <c r="N179" s="233"/>
      <c r="O179" s="233"/>
    </row>
    <row r="180" spans="1:15" ht="20.100000000000001" customHeight="1">
      <c r="A180" s="238"/>
      <c r="B180" s="233"/>
      <c r="C180" s="234"/>
      <c r="D180" s="235"/>
      <c r="E180" s="233"/>
      <c r="F180" s="233"/>
      <c r="G180" s="233"/>
      <c r="H180" s="233"/>
      <c r="I180" s="233"/>
      <c r="J180" s="233"/>
      <c r="K180" s="233"/>
      <c r="L180" s="233"/>
      <c r="M180" s="233"/>
      <c r="N180" s="233"/>
      <c r="O180" s="233"/>
    </row>
    <row r="181" spans="1:15" ht="20.100000000000001" customHeight="1">
      <c r="A181" s="238"/>
      <c r="B181" s="233"/>
      <c r="C181" s="234"/>
      <c r="D181" s="235"/>
      <c r="E181" s="233"/>
      <c r="F181" s="233"/>
      <c r="G181" s="233"/>
      <c r="H181" s="233"/>
      <c r="I181" s="233"/>
      <c r="J181" s="233"/>
      <c r="K181" s="233"/>
      <c r="L181" s="233"/>
      <c r="M181" s="233"/>
      <c r="N181" s="233"/>
      <c r="O181" s="233"/>
    </row>
    <row r="182" spans="1:15" ht="20.100000000000001" customHeight="1">
      <c r="A182" s="238"/>
      <c r="B182" s="233"/>
      <c r="C182" s="234"/>
      <c r="D182" s="235"/>
      <c r="E182" s="233"/>
      <c r="F182" s="233"/>
      <c r="G182" s="233"/>
      <c r="H182" s="233"/>
      <c r="I182" s="233"/>
      <c r="J182" s="233"/>
      <c r="K182" s="233"/>
      <c r="L182" s="233"/>
      <c r="M182" s="233"/>
      <c r="N182" s="233"/>
      <c r="O182" s="233"/>
    </row>
    <row r="183" spans="1:15" ht="20.100000000000001" customHeight="1">
      <c r="A183" s="238"/>
      <c r="B183" s="233"/>
      <c r="C183" s="234"/>
      <c r="D183" s="235"/>
      <c r="E183" s="233"/>
      <c r="F183" s="233"/>
      <c r="G183" s="233"/>
      <c r="H183" s="233"/>
      <c r="I183" s="233"/>
      <c r="J183" s="233"/>
      <c r="K183" s="233"/>
      <c r="L183" s="233"/>
      <c r="M183" s="233"/>
      <c r="N183" s="233"/>
      <c r="O183" s="233"/>
    </row>
    <row r="184" spans="1:15" ht="20.100000000000001" customHeight="1">
      <c r="A184" s="238"/>
      <c r="B184" s="233"/>
      <c r="C184" s="234"/>
      <c r="D184" s="235"/>
      <c r="E184" s="233"/>
      <c r="F184" s="233"/>
      <c r="G184" s="233"/>
      <c r="H184" s="233"/>
      <c r="I184" s="233"/>
      <c r="J184" s="233"/>
      <c r="K184" s="233"/>
      <c r="L184" s="233"/>
      <c r="M184" s="233"/>
      <c r="N184" s="233"/>
      <c r="O184" s="233"/>
    </row>
    <row r="185" spans="1:15" ht="20.100000000000001" customHeight="1"/>
    <row r="186" spans="1:15" ht="20.100000000000001" customHeight="1"/>
  </sheetData>
  <mergeCells count="13">
    <mergeCell ref="C7:L7"/>
    <mergeCell ref="A4:B4"/>
    <mergeCell ref="C4:O4"/>
    <mergeCell ref="A5:B5"/>
    <mergeCell ref="C5:O5"/>
    <mergeCell ref="A6:B6"/>
    <mergeCell ref="C6:O6"/>
    <mergeCell ref="A1:B1"/>
    <mergeCell ref="C1:O1"/>
    <mergeCell ref="A2:B2"/>
    <mergeCell ref="C2:O2"/>
    <mergeCell ref="A3:B3"/>
    <mergeCell ref="C3:O3"/>
  </mergeCells>
  <conditionalFormatting sqref="M7:N7 A8:N8 A7:C7 A1:XFD6 O7:XFD8 A185:XFD1048576">
    <cfRule type="cellIs" dxfId="1" priority="86" operator="between">
      <formula>0</formula>
      <formula>0</formula>
    </cfRule>
  </conditionalFormatting>
  <conditionalFormatting sqref="A9:XFD184">
    <cfRule type="cellIs" dxfId="0" priority="1" operator="between">
      <formula>0</formula>
      <formula>0</formula>
    </cfRule>
  </conditionalFormatting>
  <pageMargins left="0.34" right="0.39" top="0.88" bottom="0.8" header="0.4" footer="0.3"/>
  <pageSetup scale="80" firstPageNumber="5" orientation="landscape" useFirstPageNumber="1" r:id="rId1"/>
  <headerFooter>
    <oddHeader>&amp;CAbstract MB.No 1042</oddHeader>
    <oddFooter xml:space="preserve">&amp;CPage no &amp;P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16</vt:i4>
      </vt:variant>
    </vt:vector>
  </HeadingPairs>
  <TitlesOfParts>
    <vt:vector size="26" baseType="lpstr">
      <vt:lpstr>Gen 1000</vt:lpstr>
      <vt:lpstr>Gen 1001</vt:lpstr>
      <vt:lpstr>Gen 1003</vt:lpstr>
      <vt:lpstr>Gen 1004</vt:lpstr>
      <vt:lpstr>Steel 1021</vt:lpstr>
      <vt:lpstr>Steel 1022</vt:lpstr>
      <vt:lpstr>SA Gen 1002</vt:lpstr>
      <vt:lpstr>Abs 1042</vt:lpstr>
      <vt:lpstr>Secured Advance-1042</vt:lpstr>
      <vt:lpstr>Steel cons</vt:lpstr>
      <vt:lpstr>'Abs 1042'!Print_Area</vt:lpstr>
      <vt:lpstr>'Gen 1000'!Print_Area</vt:lpstr>
      <vt:lpstr>'Gen 1001'!Print_Area</vt:lpstr>
      <vt:lpstr>'Gen 1003'!Print_Area</vt:lpstr>
      <vt:lpstr>'Gen 1004'!Print_Area</vt:lpstr>
      <vt:lpstr>'SA Gen 1002'!Print_Area</vt:lpstr>
      <vt:lpstr>'Steel cons'!Print_Area</vt:lpstr>
      <vt:lpstr>'Abs 1042'!Print_Titles</vt:lpstr>
      <vt:lpstr>'Gen 1000'!Print_Titles</vt:lpstr>
      <vt:lpstr>'Gen 1001'!Print_Titles</vt:lpstr>
      <vt:lpstr>'Gen 1003'!Print_Titles</vt:lpstr>
      <vt:lpstr>'Gen 1004'!Print_Titles</vt:lpstr>
      <vt:lpstr>'SA Gen 1002'!Print_Titles</vt:lpstr>
      <vt:lpstr>'Steel 1021'!Print_Titles</vt:lpstr>
      <vt:lpstr>'Steel 1022'!Print_Titles</vt:lpstr>
      <vt:lpstr>'Steel cons'!Print_Titles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2016-06-20T07:30:31Z</dcterms:modified>
</cp:coreProperties>
</file>