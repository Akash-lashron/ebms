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45" windowWidth="10395" windowHeight="6915"/>
  </bookViews>
  <sheets>
    <sheet name="ABSTRACT-B TYPE" sheetId="3" r:id="rId1"/>
  </sheets>
  <definedNames>
    <definedName name="_xlnm.Print_Area" localSheetId="0">'ABSTRACT-B TYPE'!$A$1:$G$34</definedName>
  </definedNames>
  <calcPr calcId="124519"/>
</workbook>
</file>

<file path=xl/calcChain.xml><?xml version="1.0" encoding="utf-8"?>
<calcChain xmlns="http://schemas.openxmlformats.org/spreadsheetml/2006/main">
  <c r="F14" i="3"/>
  <c r="F19"/>
  <c r="F25"/>
  <c r="F28"/>
  <c r="F31"/>
  <c r="F29"/>
  <c r="F18"/>
  <c r="F7"/>
  <c r="F6"/>
  <c r="F8"/>
  <c r="F9"/>
  <c r="F10"/>
  <c r="F12"/>
  <c r="F13"/>
  <c r="F16"/>
  <c r="F23"/>
  <c r="F24"/>
  <c r="F26"/>
  <c r="F27"/>
  <c r="F30"/>
  <c r="F22"/>
  <c r="F21"/>
  <c r="F17"/>
  <c r="F15"/>
  <c r="F32" l="1"/>
  <c r="F34" s="1"/>
</calcChain>
</file>

<file path=xl/sharedStrings.xml><?xml version="1.0" encoding="utf-8"?>
<sst xmlns="http://schemas.openxmlformats.org/spreadsheetml/2006/main" count="65" uniqueCount="49">
  <si>
    <t>CUM</t>
  </si>
  <si>
    <t>MT</t>
  </si>
  <si>
    <t>SQM</t>
  </si>
  <si>
    <t>NOS</t>
  </si>
  <si>
    <t>S.NO</t>
  </si>
  <si>
    <t>DESCRIPTION OF ITEMS</t>
  </si>
  <si>
    <t>QUANTITY</t>
  </si>
  <si>
    <t>UNIT</t>
  </si>
  <si>
    <t>RATE</t>
  </si>
  <si>
    <t>AMOUNT</t>
  </si>
  <si>
    <t>KG</t>
  </si>
  <si>
    <t>sqm</t>
  </si>
  <si>
    <t xml:space="preserve">Providing and fixing polycarbonate sheet of 6mm thick (embossed) to suit the profile of the cladding.(only laid area without overlapping will be measured for payment. </t>
  </si>
  <si>
    <t>Suplying and fixing SS  weld mesh of size 12 x 12mm made using 0.584 mm dia  fixing at all levels including fixing with aluminium frame aluminium work will be measured under relevant items.</t>
  </si>
  <si>
    <t>for Grading-I material</t>
  </si>
  <si>
    <t>M.T</t>
  </si>
  <si>
    <t>For roof cladding</t>
  </si>
  <si>
    <t>Providing and fixing wind operated turbo ventilator along with suitable base in GRP matching to the roofing profile.  Necessary flashings to make the interface between the sheet and the turbo base should be considered of the thorat dia. 600mm</t>
  </si>
  <si>
    <t>Earthwork excavation by mechanical means (Hydraulic excavator) or manual means for foundation, substructures, plinth beam, cess pits &amp; trenches, all kinds of foundation etc.,  in all types of soil like hard gravelly soil, sandy soil for the following  depth from average ground level upto the required founding level, line and grades in both dry and wet conditions including shoring, strutting, bailing out of water if necessary, levelling and ramming the bottom of trenches, dressing of sides, stacking the excavated materials away from the edge of trenches,  refilling the sides of foundation as required with selected excavated earth and depositing / disposing the surplus excavated earth (Disposed soil to be leveled by breaking clods, if any and neatly dressed and leveled) within the lead specified below all complete as per specifications and as directed by the Engineer-in-charge.</t>
  </si>
  <si>
    <t>Providing and laying plain cement concrete 1:4:8 using 25mm maximum size graded aggregates including mechanical mixing, transporting and placing in required position, ramming, compaction, levelling, curing, shuttering, dewatering if any, complete all as per specification for levelling courses in foundation for walls, footings, floor drains etc., encasing pipes and other required works directed by Engineer-in-Charge complete all as per specifications.</t>
  </si>
  <si>
    <t>All kinds of soil with depth exceeding 1.5m but not exceeding 3m below average Ground level and disposing surplus excavated earth upto a lead of 50 metres.</t>
  </si>
  <si>
    <t>All kinds of soil with depth upto 1.5m below average Ground level and disposing surplus excavated earth upto a lead of 50 metres.</t>
  </si>
  <si>
    <t>Supplying and filling in basement with Quarry dust, filling in layers of not more than 150mm thick, each layer well rammed and consolidated  by hand/mechanical roller including watering, levelling, dressing the top surface to the required level complete all as per specification and as directed by the Engineer.</t>
  </si>
  <si>
    <t>Providing gravel/murram backing/filling 75mm thick (consolidated thickness) for underfloor/plinth beam or as specified by Engineer, including spreading gravel in uniform layers, watering, ramming, consolidating by hand/mechanical roller, dressing the top surface to the required level complete all as per specifications and as directed by the Engineer.</t>
  </si>
  <si>
    <t>Construction of granular sub-base by providing coarse graded material, spreading in uniform layers with motor grader on prepared surface, mixing by mix in place method with rotavator at OMC, and compacting with vibratory roller to achieve the desired density, complete in all respects as per clause 401 of MoRT&amp;H specifications for road and bridge works (4th Revision) and as directed by the Engineer-in-Charge.</t>
  </si>
  <si>
    <t>Supplying, fabricating, erecting and fixing in position at all levels, centering and shuttering to correct line and levels including strutting, propping, etc., with necessary bracings in all axes to give a stable assembly with provision for making the joints in the shuttering fully leak proof and with provision for fixing  coil nuts with tie rods along with suitable channel for lateral supports and for inserts, projecting dowels, anchor bolts or any other fixture, including staging, access and working platforms etc., all complete as specified and directed including dismantling and removing the aforesaid assembly after the concrete attains the sufficient strength to self-support itself without cracking and distortion all as per specification, including all materials and labour complete in all respects at all lifts. (The measurement for the formwork will be the actual area of forms in contact with concrete surfaces.)</t>
  </si>
  <si>
    <t>Providing, supplying, cutting, bending to shape,  welding, fabricating, hoisting, placing and fixing in position structural steel members like trusses, purlins etc. using  MS hollow / circular / square / rectangular tubular sections including chamfering and rounding off the edges, applying a coat of Red lead paint primer  / Zinc chromate primer of approved make and 2 coats of flat oil paint / synthetic enamel paint of approved colour and make, scaffolding and staging required for fabrication as well as erection complete  all as per specifications, drawings and as directed by the Engineer-in-charge.</t>
  </si>
  <si>
    <t>Providing and fixing bolts including nuts and washers of approved size, quality and make as per requirements as per specifications and drawings complete all as directed at site by the Engineer-in-Charge.</t>
  </si>
  <si>
    <t>Providing designing,errection and fixing prepainted galvalume steel (Zn-Al)sheets of 1.30mm thick with weight of 16.40kg/sq.m approved manufacturers confirming to ASTM A792Q standards to the required size as per the site condition (Approximately 0.912 width ) necessary over lappings, driven screws, labour for fixing in position transportation etc, including providing necessary electrical hangers (Approximately each electrical hanger around 25kg)at every 1.5m across length and 3m along length and flashing by folding bottom sheet to cover the puf portion at the exposed edges/ends et., and side faces of extreme end sheets etc., trimming, cutting to profile foam fillers all complete as directed by the Engineer-in-charge and as per manufacturer specification.</t>
  </si>
  <si>
    <t>Providing plastering to the external surfaces of brickwork/concrete at all elevations in cement mortar 1:5, 20mm thick in two coats including hacking of concrete surfaces with pointed tool, scaffolding, finishing, curing, forming grooves wherever necessary, all as per specifications.</t>
  </si>
  <si>
    <t>Providing plastering to the internal surfaces of brickwork/concrete at all elevations in cement mortar 1:5, 12mm thick finished with a floating coat of neat cement including hacking of concrete surfaces with pointed tool, scaffolding, finishing, curing, forming grooves wherever necessary, all as per specifications.</t>
  </si>
  <si>
    <t>ABSTRACT OF COST</t>
  </si>
  <si>
    <t>R.M</t>
  </si>
  <si>
    <r>
      <t xml:space="preserve">Providing and fixing roofing sheet, cladding with 0.47mm thick colour coated concelled system profile corrugated/semi corrugated/plain </t>
    </r>
    <r>
      <rPr>
        <b/>
        <sz val="10"/>
        <rFont val="Arial"/>
        <family val="2"/>
      </rPr>
      <t>zincalume sheets</t>
    </r>
    <r>
      <rPr>
        <sz val="10"/>
        <rFont val="Arial"/>
        <family val="2"/>
      </rPr>
      <t xml:space="preserve"> of 55mpa yield stress (AS 1397 – Zincalume AZ 150) with coating class AS/NZS 2728 (minimum 150 grams per relevant standard) having a total coating thickness of 35 micron.  The sheet should be rolled over specially designed concealed fixing clip manufactured from hi-tensile Aluminium Zinc alloy Zincalumen steel based and galvanized hooks.  The clip should be fastened with minimum 40micron Zinc coated / minium 25micron Zinc-Tin alloy coated.  The rate is inclusive of all fixtures required for fixing the side roof, cladding on all sides, ridges and</t>
    </r>
    <r>
      <rPr>
        <b/>
        <sz val="10"/>
        <rFont val="Arial"/>
        <family val="2"/>
      </rPr>
      <t xml:space="preserve"> required shape of rainwater gutter </t>
    </r>
    <r>
      <rPr>
        <sz val="10"/>
        <rFont val="Arial"/>
        <family val="2"/>
      </rPr>
      <t>etc. complete all as per specification and as directed by the Engineer-in-Charge.</t>
    </r>
  </si>
  <si>
    <t>Name of work : CONSTRUCTION OF WARE HOUSE NO:3 WITH TRUSSLESS ROOF         AT FRFCF PLANT SITE , KALPAKKAM</t>
  </si>
  <si>
    <r>
      <t xml:space="preserve">Providing and fixing </t>
    </r>
    <r>
      <rPr>
        <b/>
        <sz val="10"/>
        <rFont val="Arial"/>
        <family val="2"/>
      </rPr>
      <t>12mm thick prelaminated with decorative lamination on one side</t>
    </r>
    <r>
      <rPr>
        <sz val="10"/>
        <rFont val="Arial"/>
        <family val="2"/>
      </rPr>
      <t xml:space="preserve"> and balancing lamination on the other side, 3 layer medium density (Exterior grade) particle board Grade-I, Type - II confirming to IS:12823 bonded with phenol formaldhyde synthetic resin of approved brand and manufacture in panelling fixed in aluminium doors, window shutters and partition frames with C.P brass /stainless screws etc. complete as per drawings and as directed by Engineer-in-Charge.</t>
    </r>
  </si>
  <si>
    <t>rebate</t>
  </si>
  <si>
    <t>s</t>
  </si>
  <si>
    <t>1.a</t>
  </si>
  <si>
    <t>1.b</t>
  </si>
  <si>
    <t>13.a</t>
  </si>
  <si>
    <r>
      <t xml:space="preserve">Providing and fixing </t>
    </r>
    <r>
      <rPr>
        <b/>
        <sz val="10"/>
        <rFont val="Arial"/>
        <family val="2"/>
      </rPr>
      <t>PVC rain water downtake pipes</t>
    </r>
    <r>
      <rPr>
        <sz val="10"/>
        <rFont val="Arial"/>
        <family val="2"/>
      </rPr>
      <t xml:space="preserve"> conforming to IS:13592 Type A and PVC SWR Fittings &amp; specials confirming to IS:14735, ‘Finolex’ or other approved equivalent make of pipes, fittings &amp; specials including jointing with seal ring / with PVC solvent adhesive including fixing in walls/columns using clamps, anchor fasteners, bolts and teakwood packing pieces, joint testing etc complete all as per drawings, specifications and as directed  by the Engineer-in-Charge. 110mm outer dia UPVC pipe</t>
    </r>
  </si>
  <si>
    <t>Providing and fixing anodized aluminium (Anodised transparent or dyed to required shade according to IS:1868 Minimum Anodic coating of grade AC 25) work  for doors, windows, ventilators and partitions with extruded built up standard tubular sections / Z Sections and other sections of approved make confirming to IS:733 and IS:1285 fixed with rawl plugs and screws or with fixing clips or with expansion hold fastners including necessary filling up of gaps at junctions, at top, bottom and sides with required PVC / neoprene felt etc.  Aluminium sections shall be smooth, rust free, straight, mitred and jointed mechanically wherever required including cleat angle, Aluminium snap beading for glazing / panelling, C.P brass / stainless screws all complete as per architectural drawings and and directions of Engineer-in-charge including providing and fixing hinges / pivots and making provision for fixing of fittings wherever required.  (fittings, Glazing and panelling shall be paid for separately) Aluminium louvers</t>
  </si>
  <si>
    <t>Providing and constructing 200mm thick precast concrete solid blocks masonry  in cement mortar 1:4 with solid concrete blocks of size 400x200x200mm in superstructure including cost of materials, labour charges, scaffolding, curing complete all as per specifications and as directed by the Engineer-in-charge. for basement and Ground Floor</t>
  </si>
  <si>
    <t>Supplying and fixing Rolling shutters of approved make as per ISI standards made out of required size of MS Laths interlocked together throughout entire length and jointed together at the end by end locks mounted on specially designed pipes shaft with brackets, side guides and arrangements for inside &amp; outside locking with Push and Pull operation complete including the cost of providing and fixing necessary 27.5 cm long wire springs grade No 2. and M.S. Top cover of required thickness for Rolling Shutters Rolling shutters Gear operated type with handles including top hood 1.25mm thick Extra over the cost of rolling shutters for Providing and fixing Motorized arrangements including designing, providing spring less motor, control panels, limit switches, etc of "Swastik" or "windoors"  make or equivalent approved make all as per specification and as directed by the Engineer-in-charge. For opening width upto 4.5M</t>
  </si>
  <si>
    <t>Providing and laying cast insitu controlled reinforced cement concrete of specified grade at all levels and lifts mentioned below using 20mm maximum size hard granite machine crushed graded stone aggregates including weigh batching, charges for mixing &amp; cost of admixture,  mechanical mixing, transporting and placing at all lifts, vibrating, consolidating, curing and finishing smooth of all exposed faces complete for column footings, columns, lintels, sunshades, gutter slabs, beams, slabs, water tank, machine foundation and all other structural elements including dewatering wherever necessary (Formwork and reinforcement will be paid for separately) all as per specification and all as shown in drawings and as directed by the Engineer-in-charge for all insitu item. M30 grade with 370 kg. of cement per cu.m. of concrete for all floors</t>
  </si>
  <si>
    <t>TYPE</t>
  </si>
  <si>
    <t>Providing 40mm thick concrete flooring with metallic concrete hardner topping at all levels and floors consisting of underlayer of 28mm thick cement concrete 1:1:2 (1 part Cement : 1 part Fine aggregate : 2 part Coarse aggregate of 12.5mm and below size) by volume,  top layer of 12mm thick 1:2 mix (1 part cement with metallic hardener of Hardonate / Ironite or approved equivalent : 2 parts of stone aggregate of 6mm nominal size by volume) (metallic hardener and cement mixed ratio is 1:4) prepared as per manufacturer s instructions including chipping the concrete surface,  finishing, curing, providing aluminium dividing strips, cleaning the surface neatly at the time of handing over the area etc. complete all as per specifications and drawings.</t>
  </si>
  <si>
    <t>Providing, straightening, decoiling wherever necessary bending, cutting, binding and fixing in position steel reinforcement TMT bars of  Fe500D grade steel conforming to IS:1786  SAIL or VIZAG or approved equivalent make and tying with approved annealed binding wire of 1.6mm dia in all reinforced cement concrete work at all lifts, including cost of supplying and fixing the spacer/cover blocks in cement mortar 1:2 and binding wire complete all as per specification and as directed by Engineer-in-Charge at all lifts.</t>
  </si>
</sst>
</file>

<file path=xl/styles.xml><?xml version="1.0" encoding="utf-8"?>
<styleSheet xmlns="http://schemas.openxmlformats.org/spreadsheetml/2006/main">
  <numFmts count="1">
    <numFmt numFmtId="164" formatCode="0.0"/>
  </numFmts>
  <fonts count="9">
    <font>
      <sz val="11"/>
      <color theme="1"/>
      <name val="Calibri"/>
      <family val="2"/>
      <scheme val="minor"/>
    </font>
    <font>
      <sz val="11"/>
      <color rgb="FFFF0000"/>
      <name val="Calibri"/>
      <family val="2"/>
      <scheme val="minor"/>
    </font>
    <font>
      <b/>
      <sz val="11"/>
      <color theme="1"/>
      <name val="Calibri"/>
      <family val="2"/>
      <scheme val="minor"/>
    </font>
    <font>
      <sz val="9"/>
      <color theme="1"/>
      <name val="Arial"/>
      <family val="2"/>
    </font>
    <font>
      <sz val="10"/>
      <name val="Arial"/>
      <family val="2"/>
    </font>
    <font>
      <sz val="10"/>
      <name val="Helv"/>
      <charset val="204"/>
    </font>
    <font>
      <b/>
      <sz val="12"/>
      <color theme="1"/>
      <name val="Arial"/>
      <family val="2"/>
    </font>
    <font>
      <b/>
      <sz val="12"/>
      <color theme="1"/>
      <name val="Calibri"/>
      <family val="2"/>
      <scheme val="minor"/>
    </font>
    <font>
      <b/>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xf numFmtId="0" fontId="5" fillId="0" borderId="0"/>
  </cellStyleXfs>
  <cellXfs count="18">
    <xf numFmtId="0" fontId="0" fillId="0" borderId="0" xfId="0"/>
    <xf numFmtId="2" fontId="0" fillId="0" borderId="0" xfId="0" applyNumberFormat="1"/>
    <xf numFmtId="2" fontId="1" fillId="0" borderId="0" xfId="0" applyNumberFormat="1" applyFont="1"/>
    <xf numFmtId="0" fontId="0" fillId="0" borderId="0" xfId="0" applyAlignment="1">
      <alignment horizontal="right"/>
    </xf>
    <xf numFmtId="0" fontId="0" fillId="0" borderId="0" xfId="0" applyAlignment="1">
      <alignment vertical="top"/>
    </xf>
    <xf numFmtId="0" fontId="3" fillId="0" borderId="0" xfId="0" applyFont="1"/>
    <xf numFmtId="0" fontId="3" fillId="0" borderId="0" xfId="0" applyFont="1" applyAlignment="1">
      <alignment vertical="top"/>
    </xf>
    <xf numFmtId="0" fontId="0" fillId="0" borderId="0" xfId="0" applyAlignment="1">
      <alignment horizontal="right" vertical="top"/>
    </xf>
    <xf numFmtId="9" fontId="0" fillId="0" borderId="0" xfId="0" applyNumberFormat="1"/>
    <xf numFmtId="0" fontId="2" fillId="0" borderId="0" xfId="0" applyFont="1" applyAlignment="1">
      <alignment vertical="justify"/>
    </xf>
    <xf numFmtId="0" fontId="6" fillId="0" borderId="0" xfId="0" applyFont="1" applyAlignment="1"/>
    <xf numFmtId="0" fontId="4" fillId="0" borderId="0" xfId="0" applyFont="1" applyBorder="1" applyAlignment="1">
      <alignment horizontal="justify" vertical="justify" wrapText="1"/>
    </xf>
    <xf numFmtId="1" fontId="7" fillId="0" borderId="0" xfId="0" applyNumberFormat="1" applyFont="1"/>
    <xf numFmtId="0" fontId="4" fillId="0" borderId="0" xfId="0" applyFont="1" applyBorder="1" applyAlignment="1">
      <alignment horizontal="justify" vertical="top" wrapText="1"/>
    </xf>
    <xf numFmtId="164" fontId="0" fillId="0" borderId="0" xfId="0" applyNumberFormat="1"/>
    <xf numFmtId="0" fontId="4" fillId="0" borderId="1" xfId="0" applyFont="1" applyBorder="1" applyAlignment="1">
      <alignment horizontal="justify" vertical="top" wrapText="1"/>
    </xf>
    <xf numFmtId="0" fontId="6" fillId="0" borderId="0" xfId="0" applyFont="1" applyAlignment="1">
      <alignment horizontal="center"/>
    </xf>
    <xf numFmtId="0" fontId="7" fillId="0" borderId="0" xfId="0" applyFont="1" applyAlignment="1">
      <alignment horizontal="center" vertical="justify"/>
    </xf>
  </cellXfs>
  <cellStyles count="3">
    <cellStyle name="Normal" xfId="0" builtinId="0"/>
    <cellStyle name="Normal 2" xfId="1"/>
    <cellStyle name="Style 1"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34"/>
  <sheetViews>
    <sheetView tabSelected="1" view="pageBreakPreview" zoomScaleSheetLayoutView="100" workbookViewId="0">
      <selection activeCell="B31" sqref="B31"/>
    </sheetView>
  </sheetViews>
  <sheetFormatPr defaultRowHeight="15"/>
  <cols>
    <col min="1" max="1" width="5" customWidth="1"/>
    <col min="2" max="2" width="48.5703125" customWidth="1"/>
    <col min="3" max="3" width="7.5703125" customWidth="1"/>
    <col min="4" max="4" width="6.85546875" customWidth="1"/>
    <col min="5" max="5" width="8.85546875" customWidth="1"/>
    <col min="6" max="6" width="11.85546875" customWidth="1"/>
  </cols>
  <sheetData>
    <row r="1" spans="1:8" ht="31.5" customHeight="1">
      <c r="A1" s="4"/>
      <c r="B1" s="17" t="s">
        <v>34</v>
      </c>
      <c r="C1" s="17"/>
      <c r="D1" s="17"/>
      <c r="E1" s="17"/>
      <c r="F1" s="17"/>
      <c r="G1" s="17"/>
      <c r="H1" s="9"/>
    </row>
    <row r="2" spans="1:8">
      <c r="A2" s="4"/>
    </row>
    <row r="3" spans="1:8" ht="15.75">
      <c r="A3" s="4"/>
      <c r="B3" s="16" t="s">
        <v>31</v>
      </c>
      <c r="C3" s="16"/>
      <c r="D3" s="16"/>
      <c r="E3" s="16"/>
      <c r="F3" s="16"/>
      <c r="G3" s="16"/>
      <c r="H3" s="10"/>
    </row>
    <row r="4" spans="1:8">
      <c r="A4" s="6" t="s">
        <v>4</v>
      </c>
      <c r="B4" s="5" t="s">
        <v>5</v>
      </c>
      <c r="C4" s="5" t="s">
        <v>6</v>
      </c>
      <c r="D4" t="s">
        <v>7</v>
      </c>
      <c r="E4" s="5" t="s">
        <v>8</v>
      </c>
      <c r="F4" s="5" t="s">
        <v>9</v>
      </c>
      <c r="G4" s="5" t="s">
        <v>46</v>
      </c>
    </row>
    <row r="5" spans="1:8" ht="242.25" customHeight="1">
      <c r="A5" s="4">
        <v>1</v>
      </c>
      <c r="B5" s="11" t="s">
        <v>18</v>
      </c>
    </row>
    <row r="6" spans="1:8" ht="40.5" customHeight="1">
      <c r="A6" s="7" t="s">
        <v>38</v>
      </c>
      <c r="B6" s="11" t="s">
        <v>21</v>
      </c>
      <c r="C6" s="1">
        <v>900</v>
      </c>
      <c r="D6" t="s">
        <v>0</v>
      </c>
      <c r="E6">
        <v>300</v>
      </c>
      <c r="F6" s="1">
        <f>PRODUCT(C6*E6)</f>
        <v>270000</v>
      </c>
    </row>
    <row r="7" spans="1:8" ht="38.25" customHeight="1">
      <c r="A7" s="7" t="s">
        <v>39</v>
      </c>
      <c r="B7" s="11" t="s">
        <v>20</v>
      </c>
      <c r="C7" s="1">
        <v>250</v>
      </c>
      <c r="D7" t="s">
        <v>0</v>
      </c>
      <c r="E7">
        <v>350</v>
      </c>
      <c r="F7" s="1">
        <f>PRODUCT(C7*E7)</f>
        <v>87500</v>
      </c>
    </row>
    <row r="8" spans="1:8" ht="132.75" customHeight="1">
      <c r="A8" s="4">
        <v>2</v>
      </c>
      <c r="B8" s="11" t="s">
        <v>19</v>
      </c>
      <c r="C8" s="1">
        <v>260</v>
      </c>
      <c r="D8" t="s">
        <v>0</v>
      </c>
      <c r="E8">
        <v>4500</v>
      </c>
      <c r="F8" s="1">
        <f>PRODUCT(C8*E8)</f>
        <v>1170000</v>
      </c>
      <c r="H8" s="3"/>
    </row>
    <row r="9" spans="1:8" ht="76.5">
      <c r="A9" s="4">
        <v>3</v>
      </c>
      <c r="B9" s="11" t="s">
        <v>22</v>
      </c>
      <c r="C9" s="1">
        <v>227</v>
      </c>
      <c r="D9" t="s">
        <v>0</v>
      </c>
      <c r="E9">
        <v>900</v>
      </c>
      <c r="F9" s="1">
        <f>PRODUCT(C9*E9)</f>
        <v>204300</v>
      </c>
      <c r="H9" s="3"/>
    </row>
    <row r="10" spans="1:8" ht="89.25">
      <c r="A10" s="4">
        <v>4</v>
      </c>
      <c r="B10" s="11" t="s">
        <v>23</v>
      </c>
      <c r="C10" s="1">
        <v>227</v>
      </c>
      <c r="D10" t="s">
        <v>0</v>
      </c>
      <c r="E10">
        <v>800</v>
      </c>
      <c r="F10" s="1">
        <f>PRODUCT(C10*E10)</f>
        <v>181600</v>
      </c>
      <c r="H10" s="3"/>
    </row>
    <row r="11" spans="1:8" ht="102">
      <c r="A11" s="4">
        <v>5</v>
      </c>
      <c r="B11" s="11" t="s">
        <v>24</v>
      </c>
      <c r="F11" s="1"/>
      <c r="H11" s="3"/>
    </row>
    <row r="12" spans="1:8">
      <c r="A12" s="4">
        <v>5.0999999999999996</v>
      </c>
      <c r="B12" s="11" t="s">
        <v>14</v>
      </c>
      <c r="C12" s="1">
        <v>340</v>
      </c>
      <c r="D12" t="s">
        <v>0</v>
      </c>
      <c r="E12">
        <v>1200</v>
      </c>
      <c r="F12" s="1">
        <f t="shared" ref="F12:F19" si="0">PRODUCT(C12*E12)</f>
        <v>408000</v>
      </c>
      <c r="H12" s="3"/>
    </row>
    <row r="13" spans="1:8" ht="183.75" customHeight="1">
      <c r="A13" s="4">
        <v>6</v>
      </c>
      <c r="B13" s="11" t="s">
        <v>47</v>
      </c>
      <c r="C13" s="14">
        <v>2270</v>
      </c>
      <c r="D13" t="s">
        <v>2</v>
      </c>
      <c r="E13">
        <v>690</v>
      </c>
      <c r="F13" s="1">
        <f t="shared" si="0"/>
        <v>1566300</v>
      </c>
      <c r="H13" s="3"/>
    </row>
    <row r="14" spans="1:8" ht="215.25" customHeight="1">
      <c r="A14" s="4">
        <v>7</v>
      </c>
      <c r="B14" s="11" t="s">
        <v>45</v>
      </c>
      <c r="C14">
        <v>510</v>
      </c>
      <c r="D14" t="s">
        <v>0</v>
      </c>
      <c r="E14">
        <v>7000</v>
      </c>
      <c r="F14" s="1">
        <f t="shared" si="0"/>
        <v>3570000</v>
      </c>
    </row>
    <row r="15" spans="1:8" ht="216.75">
      <c r="A15" s="4">
        <v>8</v>
      </c>
      <c r="B15" s="11" t="s">
        <v>25</v>
      </c>
      <c r="C15">
        <v>460</v>
      </c>
      <c r="D15" t="s">
        <v>2</v>
      </c>
      <c r="E15">
        <v>400</v>
      </c>
      <c r="F15" s="1">
        <f t="shared" si="0"/>
        <v>184000</v>
      </c>
      <c r="G15" s="1"/>
      <c r="H15" s="3"/>
    </row>
    <row r="16" spans="1:8" ht="127.5">
      <c r="A16" s="4">
        <v>9</v>
      </c>
      <c r="B16" s="11" t="s">
        <v>48</v>
      </c>
      <c r="C16">
        <v>62</v>
      </c>
      <c r="D16" t="s">
        <v>15</v>
      </c>
      <c r="E16">
        <v>85000</v>
      </c>
      <c r="F16" s="1">
        <f t="shared" si="0"/>
        <v>5270000</v>
      </c>
      <c r="G16" t="s">
        <v>37</v>
      </c>
    </row>
    <row r="17" spans="1:8" ht="153">
      <c r="A17" s="4">
        <v>10</v>
      </c>
      <c r="B17" s="11" t="s">
        <v>26</v>
      </c>
      <c r="C17">
        <v>70</v>
      </c>
      <c r="D17" t="s">
        <v>1</v>
      </c>
      <c r="E17">
        <v>110000</v>
      </c>
      <c r="F17" s="1">
        <f t="shared" si="0"/>
        <v>7700000</v>
      </c>
      <c r="G17" s="2"/>
      <c r="H17" s="3"/>
    </row>
    <row r="18" spans="1:8" ht="51">
      <c r="A18" s="4">
        <v>11</v>
      </c>
      <c r="B18" s="11" t="s">
        <v>27</v>
      </c>
      <c r="C18" s="1">
        <v>3670</v>
      </c>
      <c r="D18" t="s">
        <v>10</v>
      </c>
      <c r="E18">
        <v>7500</v>
      </c>
      <c r="F18" s="1">
        <f t="shared" si="0"/>
        <v>27525000</v>
      </c>
    </row>
    <row r="19" spans="1:8" ht="229.5">
      <c r="A19" s="4">
        <v>12</v>
      </c>
      <c r="B19" s="11" t="s">
        <v>44</v>
      </c>
      <c r="C19">
        <v>40</v>
      </c>
      <c r="D19" t="s">
        <v>2</v>
      </c>
      <c r="E19">
        <v>1</v>
      </c>
      <c r="F19" s="1">
        <f t="shared" si="0"/>
        <v>40</v>
      </c>
    </row>
    <row r="20" spans="1:8" ht="195" customHeight="1">
      <c r="A20" s="4">
        <v>13</v>
      </c>
      <c r="B20" s="11" t="s">
        <v>28</v>
      </c>
      <c r="F20" s="1"/>
    </row>
    <row r="21" spans="1:8">
      <c r="A21" s="7" t="s">
        <v>40</v>
      </c>
      <c r="B21" s="11" t="s">
        <v>16</v>
      </c>
      <c r="C21">
        <v>2740</v>
      </c>
      <c r="D21" t="s">
        <v>11</v>
      </c>
      <c r="E21">
        <v>2675</v>
      </c>
      <c r="F21" s="1">
        <f t="shared" ref="F21:F31" si="1">PRODUCT(C21*E21)</f>
        <v>7329500</v>
      </c>
    </row>
    <row r="22" spans="1:8" ht="204">
      <c r="A22" s="7">
        <v>14</v>
      </c>
      <c r="B22" s="13" t="s">
        <v>33</v>
      </c>
      <c r="C22">
        <v>1100</v>
      </c>
      <c r="D22" t="s">
        <v>11</v>
      </c>
      <c r="E22">
        <v>800</v>
      </c>
      <c r="F22" s="1">
        <f t="shared" si="1"/>
        <v>880000</v>
      </c>
    </row>
    <row r="23" spans="1:8" ht="38.25">
      <c r="A23" s="4">
        <v>15</v>
      </c>
      <c r="B23" s="11" t="s">
        <v>12</v>
      </c>
      <c r="C23">
        <v>350</v>
      </c>
      <c r="D23" t="s">
        <v>11</v>
      </c>
      <c r="E23">
        <v>4000</v>
      </c>
      <c r="F23" s="1">
        <f t="shared" si="1"/>
        <v>1400000</v>
      </c>
    </row>
    <row r="24" spans="1:8" ht="63.75">
      <c r="A24" s="4">
        <v>16</v>
      </c>
      <c r="B24" s="11" t="s">
        <v>17</v>
      </c>
      <c r="C24">
        <v>9</v>
      </c>
      <c r="D24" s="3" t="s">
        <v>3</v>
      </c>
      <c r="E24">
        <v>7750</v>
      </c>
      <c r="F24" s="1">
        <f t="shared" si="1"/>
        <v>69750</v>
      </c>
    </row>
    <row r="25" spans="1:8" ht="79.5" customHeight="1">
      <c r="A25" s="4">
        <v>17</v>
      </c>
      <c r="B25" s="11" t="s">
        <v>43</v>
      </c>
      <c r="C25">
        <v>230</v>
      </c>
      <c r="D25" t="s">
        <v>11</v>
      </c>
      <c r="E25">
        <v>900</v>
      </c>
      <c r="F25" s="1">
        <f t="shared" si="1"/>
        <v>207000</v>
      </c>
    </row>
    <row r="26" spans="1:8" ht="76.5">
      <c r="A26" s="4">
        <v>18</v>
      </c>
      <c r="B26" s="11" t="s">
        <v>29</v>
      </c>
      <c r="C26">
        <v>230</v>
      </c>
      <c r="D26" t="s">
        <v>11</v>
      </c>
      <c r="E26">
        <v>300</v>
      </c>
      <c r="F26" s="1">
        <f t="shared" si="1"/>
        <v>69000</v>
      </c>
    </row>
    <row r="27" spans="1:8" ht="76.5">
      <c r="A27" s="4">
        <v>19</v>
      </c>
      <c r="B27" s="11" t="s">
        <v>30</v>
      </c>
      <c r="C27">
        <v>230</v>
      </c>
      <c r="D27" t="s">
        <v>11</v>
      </c>
      <c r="E27">
        <v>250</v>
      </c>
      <c r="F27" s="1">
        <f t="shared" si="1"/>
        <v>57500</v>
      </c>
    </row>
    <row r="28" spans="1:8" ht="276" customHeight="1">
      <c r="A28" s="4">
        <v>20</v>
      </c>
      <c r="B28" s="11" t="s">
        <v>42</v>
      </c>
      <c r="C28">
        <v>325</v>
      </c>
      <c r="D28" t="s">
        <v>10</v>
      </c>
      <c r="E28">
        <v>550</v>
      </c>
      <c r="F28" s="1">
        <f t="shared" si="1"/>
        <v>178750</v>
      </c>
    </row>
    <row r="29" spans="1:8" ht="119.25" customHeight="1">
      <c r="A29" s="4">
        <v>21</v>
      </c>
      <c r="B29" s="15" t="s">
        <v>35</v>
      </c>
      <c r="C29">
        <v>60</v>
      </c>
      <c r="D29" t="s">
        <v>2</v>
      </c>
      <c r="E29">
        <v>1000</v>
      </c>
      <c r="F29" s="1">
        <f t="shared" si="1"/>
        <v>60000</v>
      </c>
      <c r="H29" s="3"/>
    </row>
    <row r="30" spans="1:8" ht="59.25" customHeight="1">
      <c r="A30" s="4">
        <v>22</v>
      </c>
      <c r="B30" s="11" t="s">
        <v>13</v>
      </c>
      <c r="C30">
        <v>20</v>
      </c>
      <c r="D30" t="s">
        <v>2</v>
      </c>
      <c r="E30">
        <v>500</v>
      </c>
      <c r="F30" s="1">
        <f t="shared" si="1"/>
        <v>10000</v>
      </c>
      <c r="H30" s="3"/>
    </row>
    <row r="31" spans="1:8" ht="127.5">
      <c r="A31" s="4">
        <v>23</v>
      </c>
      <c r="B31" s="13" t="s">
        <v>41</v>
      </c>
      <c r="C31">
        <v>170</v>
      </c>
      <c r="D31" t="s">
        <v>32</v>
      </c>
      <c r="E31">
        <v>420</v>
      </c>
      <c r="F31" s="1">
        <f t="shared" si="1"/>
        <v>71400</v>
      </c>
      <c r="H31" s="3"/>
    </row>
    <row r="32" spans="1:8">
      <c r="A32" s="4"/>
      <c r="F32" s="1">
        <f>SUM(F5:F31)</f>
        <v>58469640</v>
      </c>
      <c r="H32" s="3"/>
    </row>
    <row r="33" spans="1:6">
      <c r="A33" s="4"/>
      <c r="B33" t="s">
        <v>36</v>
      </c>
      <c r="C33" s="8">
        <v>0.03</v>
      </c>
      <c r="F33" s="1">
        <v>913463</v>
      </c>
    </row>
    <row r="34" spans="1:6" ht="15.75">
      <c r="A34" s="4"/>
      <c r="F34" s="12">
        <f>SUM(F32:F33)</f>
        <v>59383103</v>
      </c>
    </row>
  </sheetData>
  <mergeCells count="2">
    <mergeCell ref="B3:G3"/>
    <mergeCell ref="B1:G1"/>
  </mergeCells>
  <printOptions gridLines="1"/>
  <pageMargins left="0.70866141732283472" right="0.51181102362204722" top="0.55118110236220474" bottom="0.55118110236220474" header="0.31496062992125984" footer="0.31496062992125984"/>
  <pageSetup paperSize="9" scale="91" orientation="portrait" r:id="rId1"/>
  <rowBreaks count="1" manualBreakCount="1">
    <brk id="14"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ABSTRACT-B TYPE</vt:lpstr>
      <vt:lpstr>'ABSTRACT-B TYPE'!Print_Area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ramamoorthy p</dc:creator>
  <cp:lastModifiedBy>malar</cp:lastModifiedBy>
  <cp:lastPrinted>2014-11-20T05:43:50Z</cp:lastPrinted>
  <dcterms:created xsi:type="dcterms:W3CDTF">2014-05-09T09:23:15Z</dcterms:created>
  <dcterms:modified xsi:type="dcterms:W3CDTF">2015-08-31T07:17:45Z</dcterms:modified>
</cp:coreProperties>
</file>