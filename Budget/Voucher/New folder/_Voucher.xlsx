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455"/>
  </bookViews>
  <sheets>
    <sheet name="MRPU" sheetId="1" r:id="rId1"/>
    <sheet name="FRFCF" sheetId="2" r:id="rId2"/>
    <sheet name="Sheet3" sheetId="3" r:id="rId3"/>
  </sheets>
  <definedNames>
    <definedName name="test1" localSheetId="2">Sheet3!$A$1:$D$40</definedName>
  </definedNames>
  <calcPr calcId="144525"/>
</workbook>
</file>

<file path=xl/calcChain.xml><?xml version="1.0" encoding="utf-8"?>
<calcChain xmlns="http://schemas.openxmlformats.org/spreadsheetml/2006/main">
  <c r="E24" i="3" l="1"/>
  <c r="E25" i="3"/>
  <c r="E26" i="3"/>
  <c r="E27" i="3"/>
  <c r="E29" i="3"/>
  <c r="E30" i="3"/>
  <c r="E31" i="3"/>
  <c r="E32" i="3"/>
  <c r="E33" i="3"/>
  <c r="E34" i="3"/>
  <c r="E8" i="3"/>
  <c r="E9" i="3"/>
  <c r="E10" i="3"/>
  <c r="E11" i="3"/>
  <c r="E12" i="3"/>
  <c r="E13" i="3"/>
  <c r="E15" i="3"/>
  <c r="E16" i="3"/>
  <c r="E17" i="3"/>
  <c r="E18" i="3"/>
  <c r="E19" i="3"/>
  <c r="E20" i="3"/>
  <c r="E21" i="3"/>
  <c r="E4" i="3"/>
  <c r="E5" i="3"/>
  <c r="E6" i="3"/>
  <c r="E3" i="3"/>
  <c r="F87" i="2"/>
  <c r="F35" i="2"/>
  <c r="F39" i="1"/>
  <c r="F88" i="2" l="1"/>
</calcChain>
</file>

<file path=xl/connections.xml><?xml version="1.0" encoding="utf-8"?>
<connections xmlns="http://schemas.openxmlformats.org/spreadsheetml/2006/main">
  <connection id="1" name="test1" type="6" refreshedVersion="5" background="1" saveData="1">
    <textPr codePage="437" sourceFile="G:\BPMS\EBMS\Proposal-22\test1.txt" delimiter="/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<sst xmlns="http://schemas.openxmlformats.org/spreadsheetml/2006/main" count="402" uniqueCount="147">
  <si>
    <t>File/PO</t>
  </si>
  <si>
    <t>Item</t>
  </si>
  <si>
    <t>PO-val[L]</t>
  </si>
  <si>
    <t>Vr. no</t>
  </si>
  <si>
    <t>Vr. Date</t>
  </si>
  <si>
    <t>VrAmt</t>
  </si>
  <si>
    <t>PO-Rel-dt.</t>
  </si>
  <si>
    <t>O PIN</t>
  </si>
  <si>
    <t>N PIN</t>
  </si>
  <si>
    <t>Code</t>
  </si>
  <si>
    <t>Paid[L]</t>
  </si>
  <si>
    <t>Head of Account</t>
  </si>
  <si>
    <t>Indentor</t>
  </si>
  <si>
    <t>GrpDivSec</t>
  </si>
  <si>
    <t>712 </t>
  </si>
  <si>
    <t>4861 60 203 44 00 53</t>
  </si>
  <si>
    <t>4861 60 203 44 00 52</t>
  </si>
  <si>
    <t>FRFCF/</t>
  </si>
  <si>
    <t>Remittance of Misc. receipts</t>
  </si>
  <si>
    <t>CC NO</t>
  </si>
  <si>
    <t>IGCAR/ENG/3645/101501</t>
  </si>
  <si>
    <t>UNDER SLUNG CRANES</t>
  </si>
  <si>
    <t>709 A</t>
  </si>
  <si>
    <t>BISWANATH SEN</t>
  </si>
  <si>
    <t>IGC/ESG/AC&amp;VSD/ACPS</t>
  </si>
  <si>
    <t>IGCAR/CAP/5773/104044</t>
  </si>
  <si>
    <t>EZ-32 &amp; NPRAE CARD FOR F</t>
  </si>
  <si>
    <t>DJEARADJANE N</t>
  </si>
  <si>
    <t>IGC/ESG/ESD/EMS</t>
  </si>
  <si>
    <t>/0</t>
  </si>
  <si>
    <t>IGCAR/CAP/5500/101921</t>
  </si>
  <si>
    <t>COPIER MACHINE</t>
  </si>
  <si>
    <t>JEBARAJ. R.E.M</t>
  </si>
  <si>
    <t>IGC/FRFCF</t>
  </si>
  <si>
    <t>IGCAR/FAB/1397/107070</t>
  </si>
  <si>
    <t>MODULAR PARTITION FURNIT</t>
  </si>
  <si>
    <t>IGCAR/STY/1984/109505</t>
  </si>
  <si>
    <t>PLOTTER PAPER ROLLS</t>
  </si>
  <si>
    <t>4861 60 203 44 00 21</t>
  </si>
  <si>
    <t>CHANDRASEKARAN V. -05160</t>
  </si>
  <si>
    <t>IGCAR/LPS/11120/10154</t>
  </si>
  <si>
    <t>TONER NO.T-4590D</t>
  </si>
  <si>
    <t>CHANDRASEKARAN V.</t>
  </si>
  <si>
    <t>IGCAR/FRFCF</t>
  </si>
  <si>
    <t>IGCAR/GEN/6764/109499</t>
  </si>
  <si>
    <t>SAFETY NOTICE BOARD</t>
  </si>
  <si>
    <t>SEKAR A. -03313</t>
  </si>
  <si>
    <t>IGCAR/MIA/6179/109597</t>
  </si>
  <si>
    <t>Digital ELCB/RCCB tester</t>
  </si>
  <si>
    <t>GANAPATHI S.-10152</t>
  </si>
  <si>
    <t>IGCAR/CAP/7328/109602</t>
  </si>
  <si>
    <t>Centrifugal Pump</t>
  </si>
  <si>
    <t>JEBARAJ R.E.M.</t>
  </si>
  <si>
    <t>IGCAR/COMP/5358/109144</t>
  </si>
  <si>
    <t>Desktop computer</t>
  </si>
  <si>
    <t>IGCAR/ECON/2679/109620</t>
  </si>
  <si>
    <t>Wireless system</t>
  </si>
  <si>
    <t>IGCAR/ENG/3889/106404</t>
  </si>
  <si>
    <t>SWRO PLANT (380 M3/HR)</t>
  </si>
  <si>
    <t>414 </t>
  </si>
  <si>
    <t>KEMPULRAJ G</t>
  </si>
  <si>
    <t>IGC/ESG/CWD/PS</t>
  </si>
  <si>
    <t>IGCAR/GEN/6749/109846</t>
  </si>
  <si>
    <t>Welding shield</t>
  </si>
  <si>
    <t>SEKAR A.</t>
  </si>
  <si>
    <t>IGCAR/GEN/6749/109844</t>
  </si>
  <si>
    <t>IGCAR/LPS/10939/10026</t>
  </si>
  <si>
    <t>Digital Lux Meter</t>
  </si>
  <si>
    <t>IGCAR/COMP/5361/109554</t>
  </si>
  <si>
    <t>HP LaserJet Cartridge</t>
  </si>
  <si>
    <t>IGCAR/LPS/10935/10109</t>
  </si>
  <si>
    <t>SAFETY HELMET</t>
  </si>
  <si>
    <t>SALARY FOR THE MONTH OF JULY 2013</t>
  </si>
  <si>
    <t>PAYMENT OF SERVICE TAX (BASELINE DATA GENERATION</t>
  </si>
  <si>
    <t>SALARY FOR THE MONTH OF SEPTEMBER - 2013</t>
  </si>
  <si>
    <t>DA ARREARS FOR JULY - SEPTEMBER 2013</t>
  </si>
  <si>
    <t>PROVIDING HDPE PIPES CROSSING TO INSTALL HV AND CONTROL CABLES FROM IGCAR TO FRFCF KALPAKKAM</t>
  </si>
  <si>
    <t>PRIS(O) FOR THE PERIOD APRIL 2013 - SEPTEMBER 2013</t>
  </si>
  <si>
    <t>SALARY FOR THE MONTH OF OCTOBER - 2013</t>
  </si>
  <si>
    <t>MODIFICATION OF INTERNAL ELECTRIFICATION FOR CUBICAL SEATING ARRANGEMENT IN STORES WORKSHOP AT FRFCF</t>
  </si>
  <si>
    <t>PAYMENT FOR HIRED VEHICLES FOR OFFICIAL USE</t>
  </si>
  <si>
    <t>CLEARENCE OF JUNGLES ALONG THE FENCING AT FRFCF SITE KALPAKKAM</t>
  </si>
  <si>
    <t>PAYMENT-HIRED VEHICLES(441,442,443,446,447,450,452</t>
  </si>
  <si>
    <t>PAYMENT OF HIRED VEHICLE</t>
  </si>
  <si>
    <t>FEE FOR CONSENT TO ESTABLISH</t>
  </si>
  <si>
    <t>PAYMENT FOR VEHICLE HIRED IN NEW DELHI</t>
  </si>
  <si>
    <t>PAYMENT FOR HIRED VEHICLES (ROMG2540;ESG[M&amp;E]2510)</t>
  </si>
  <si>
    <t>PAYMENT OF WORKS CONTRACT TAX</t>
  </si>
  <si>
    <t>SALARY FOR THE MONTH OF NOVEMBER - 2013</t>
  </si>
  <si>
    <t>SETTLEMENT OF AIR BILLS - IFN OF NOV.2013</t>
  </si>
  <si>
    <t>OSTA ADVANCE</t>
  </si>
  <si>
    <t>CONSTRUCTION OF ROAD STORM WATER DRAINAGE AND OTHER MISCELLANEOUS WORKS ON WESTERN SIDE OF DAE PLANT SITE</t>
  </si>
  <si>
    <t>RETIREMENT/TRANSFER TA</t>
  </si>
  <si>
    <t>Examination fee to Green Byuilding Council</t>
  </si>
  <si>
    <t>SETTLEMENT OF AIR BILLS - IIFN NOV. 2013</t>
  </si>
  <si>
    <t>PROVIDING AND FIXING REPLECTIVE STUD AND PLASTIC SPEED BREAKER ON ROAD SURFACE AT DIVERSION OF ROAD KALPAKKAM</t>
  </si>
  <si>
    <t>MISCLASSIFICATION OF HEAD OF ACCOUNT. VR.NO.129 DT.04.04.2013, 564 - 21.05.2013, 345 - 17.06.2013, 840 - 31.07.2013, 344 - 16.08.2013, 529 - 27.08.2013, 334 - 16.09.2013, 511 - 21.11.2013.</t>
  </si>
  <si>
    <t>SETTLEMENT OF AIR BILLS - IFN DEC.2013</t>
  </si>
  <si>
    <t>CONSTRUCTION OF TWO NUMBERS OF SUBSTATION BUILDING FOR FRCF AT KALPAKKAM</t>
  </si>
  <si>
    <t>PAYMENT FOR LANDLINE BILLS (from 1.12.13 to 31.13</t>
  </si>
  <si>
    <t>LAYING OF POWER AND CONTROL CABLES FROM NCSS TO FRFCF AT IGCAR KALPAKKAM</t>
  </si>
  <si>
    <t>PAYMENT OF WORK CONTRACT TAX</t>
  </si>
  <si>
    <t>eSTABLISHING DATA NETWORK IN CUBICAL SEALING ARRANGMENT AT FRFCF SITE, IGCAR KALPAKKAM</t>
  </si>
  <si>
    <t>ESTABLISHING RING FEEDER SYSTEM FOR CONSTRUCTION POWER SUPPLY AT FRFCF SITE, IGCAR,</t>
  </si>
  <si>
    <t>CONSTRUCTION OF PARKING SHED FORMATION OF ROAD AND OTHER MISCE</t>
  </si>
  <si>
    <t>PAYMENT - AMC OF 2T UNDERSLUNG EOR CRANE AT FRFCF</t>
  </si>
  <si>
    <t>PAYMENT FOR CONDENSER FAN MOTOR</t>
  </si>
  <si>
    <t>PAYMENT FOR PROVIDING MEDICAL EQUIPMENT FOR FIRST</t>
  </si>
  <si>
    <t>SUPPLY INSTALLATION TESTING AND COMMISSIONING OF ACCESS CONTROL SYSTEM</t>
  </si>
  <si>
    <t>SUPPLY FABRICATION AND INSTALLATION OF WATCH TOWER</t>
  </si>
  <si>
    <t>CONSTRUCTIONS OF WEIGHBRIDGE AT FRFCF</t>
  </si>
  <si>
    <t>ERRECTION AND TESTING OF DISTRIBUTION TRANSFORMER AT MAIN POWER STATION</t>
  </si>
  <si>
    <t>LIGHTNING PROTECTION FOR INFRASTRUCTURE BUILDINGS AND ASSOCIATED ELECTRICAL WORKS AT FRFCF</t>
  </si>
  <si>
    <t>Providing Securigyt equipments for construction site gate of FRFCF</t>
  </si>
  <si>
    <t>WATERING THE ASSORTED TREES IN BETWEEN WATER BODY AREA TO PLANTATION AREA IN EDAIYUR BRIDGE NORTH SIDE IN KKM GATE</t>
  </si>
  <si>
    <t>CONSTRUCTION FIRE HYDRANT SYSTEM FOR WASTE MANAGEMENT PLANT OF FRFCF</t>
  </si>
  <si>
    <t>PAYMENT FOR TELEPHONE BILLS (1.2.14 to 28.2.14)</t>
  </si>
  <si>
    <t>Providing Standby AC system for server room of MPS at FRFCF</t>
  </si>
  <si>
    <t>PROVIDING ACCESS ROAD GATES AND OTHER MISC. WORKS FOR FRFCF</t>
  </si>
  <si>
    <t>DEVELOPMENT AND MAINTENANCE OF LAWN AND HORTICULTURE WORK AT DIVERSION OF ROAD JUNCTION</t>
  </si>
  <si>
    <t>PAYMENT FOR COMPREHENSIVE AMC FOR WIRELESS CCTV</t>
  </si>
  <si>
    <t>PROVIDING PVC FLOORING AND EPOXY PAINTING OVER CNC FLOOR AREA OF CENTRAL WORKSHOP BUILDING AT FRFCF SITE KALPAKKAM</t>
  </si>
  <si>
    <t>PROVIDING CHAIN LINK FINCE ON NORTHERN SIDE OF FRFCF SITE AT KALPAKKAM</t>
  </si>
  <si>
    <t>PAYMNT FOR SUPPLY, INSTALLATION &amp; COMMISSIONING OF</t>
  </si>
  <si>
    <t>Total without CC No</t>
  </si>
  <si>
    <t>Total 2013-14 Exp in Rs</t>
  </si>
  <si>
    <t>TOTAL - MRPU 2013-14</t>
  </si>
  <si>
    <t>Total with CC No</t>
  </si>
  <si>
    <t>Capital Project Expenditure Details (IGCAR bookings) During 2013-14</t>
  </si>
  <si>
    <t>IGCAR Capital Budget MRPU expenditure details from 01-05-2013 to 31-03-2014</t>
  </si>
  <si>
    <t>File</t>
  </si>
  <si>
    <t>PO</t>
  </si>
  <si>
    <t>IGCAR</t>
  </si>
  <si>
    <t>ENG</t>
  </si>
  <si>
    <t>CAP</t>
  </si>
  <si>
    <t>FAB</t>
  </si>
  <si>
    <t>STY</t>
  </si>
  <si>
    <t>LPS</t>
  </si>
  <si>
    <t>GEN</t>
  </si>
  <si>
    <t>MIA</t>
  </si>
  <si>
    <t>COMP</t>
  </si>
  <si>
    <t>ECON</t>
  </si>
  <si>
    <t>Plant/Service</t>
  </si>
  <si>
    <t>Sanction OM activity Sl.No</t>
  </si>
  <si>
    <t>Sanction OM MW/ME Sl.No</t>
  </si>
  <si>
    <t>New HOA</t>
  </si>
  <si>
    <t>NEW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</si>
</sst>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\.mm\.yyyy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0"/>
      <color theme="1"/>
      <name val="Courier"/>
      <family val="3"/>
    </font>
    <font>
      <sz val="13"/>
      <color rgb="FF212529"/>
      <name val="Arial"/>
      <family val="2"/>
    </font>
    <font>
      <u/>
      <sz val="18"/>
      <color rgb="FF0000FF"/>
      <name val="Arial"/>
      <family val="2"/>
    </font>
    <font>
      <sz val="11"/>
      <color theme="1"/>
      <name val="Segoe UI"/>
      <family val="2"/>
    </font>
    <font>
      <b/>
      <sz val="10"/>
      <color rgb="FF000080"/>
      <name val="Courier"/>
      <family val="3"/>
    </font>
    <font>
      <b/>
      <sz val="13"/>
      <color rgb="FF212529"/>
      <name val="Arial"/>
      <family val="2"/>
    </font>
    <font>
      <b/>
      <sz val="10"/>
      <color rgb="FF212529"/>
      <name val="Arial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E9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D8D5D5"/>
      </top>
      <bottom style="medium">
        <color rgb="FFD8D5D5"/>
      </bottom>
      <diagonal/>
    </border>
    <border>
      <left/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" fontId="2" fillId="2" borderId="2" xfId="0" applyNumberFormat="1" applyFont="1" applyFill="1" applyBorder="1" applyAlignment="1">
      <alignment horizontal="right" vertical="center" wrapText="1"/>
    </xf>
    <xf numFmtId="3" fontId="7" fillId="4" borderId="6" xfId="0" applyNumberFormat="1" applyFont="1" applyFill="1" applyBorder="1" applyAlignment="1">
      <alignment horizontal="right" wrapText="1"/>
    </xf>
    <xf numFmtId="3" fontId="8" fillId="4" borderId="6" xfId="0" applyNumberFormat="1" applyFont="1" applyFill="1" applyBorder="1" applyAlignment="1">
      <alignment horizontal="right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center" wrapText="1"/>
    </xf>
    <xf numFmtId="14" fontId="3" fillId="0" borderId="11" xfId="0" applyNumberFormat="1" applyFont="1" applyBorder="1" applyAlignment="1">
      <alignment horizontal="center" wrapText="1"/>
    </xf>
    <xf numFmtId="3" fontId="3" fillId="0" borderId="11" xfId="0" applyNumberFormat="1" applyFont="1" applyBorder="1" applyAlignment="1">
      <alignment horizontal="right" wrapText="1"/>
    </xf>
    <xf numFmtId="1" fontId="3" fillId="0" borderId="11" xfId="0" applyNumberFormat="1" applyFont="1" applyBorder="1" applyAlignment="1">
      <alignment wrapText="1"/>
    </xf>
    <xf numFmtId="0" fontId="0" fillId="0" borderId="12" xfId="0" applyBorder="1"/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14" fontId="3" fillId="0" borderId="12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right" wrapText="1"/>
    </xf>
    <xf numFmtId="1" fontId="3" fillId="0" borderId="12" xfId="0" applyNumberFormat="1" applyFont="1" applyBorder="1" applyAlignment="1">
      <alignment wrapText="1"/>
    </xf>
    <xf numFmtId="0" fontId="3" fillId="0" borderId="12" xfId="0" applyFont="1" applyBorder="1" applyAlignment="1">
      <alignment horizontal="right" wrapText="1"/>
    </xf>
    <xf numFmtId="0" fontId="0" fillId="0" borderId="13" xfId="0" applyBorder="1"/>
    <xf numFmtId="1" fontId="3" fillId="0" borderId="13" xfId="0" applyNumberFormat="1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0" fillId="0" borderId="14" xfId="0" applyBorder="1"/>
    <xf numFmtId="0" fontId="3" fillId="0" borderId="14" xfId="0" applyFont="1" applyBorder="1" applyAlignment="1">
      <alignment horizontal="center" wrapText="1"/>
    </xf>
    <xf numFmtId="14" fontId="3" fillId="0" borderId="14" xfId="0" applyNumberFormat="1" applyFont="1" applyBorder="1" applyAlignment="1">
      <alignment horizontal="center" wrapText="1"/>
    </xf>
    <xf numFmtId="3" fontId="3" fillId="0" borderId="14" xfId="0" applyNumberFormat="1" applyFont="1" applyBorder="1" applyAlignment="1">
      <alignment horizontal="right" wrapText="1"/>
    </xf>
    <xf numFmtId="0" fontId="0" fillId="0" borderId="6" xfId="0" applyBorder="1"/>
    <xf numFmtId="0" fontId="0" fillId="4" borderId="6" xfId="0" applyFill="1" applyBorder="1"/>
    <xf numFmtId="0" fontId="0" fillId="0" borderId="16" xfId="0" applyBorder="1"/>
    <xf numFmtId="0" fontId="3" fillId="0" borderId="16" xfId="0" applyFont="1" applyBorder="1" applyAlignment="1">
      <alignment wrapText="1"/>
    </xf>
    <xf numFmtId="0" fontId="3" fillId="0" borderId="16" xfId="0" applyFont="1" applyBorder="1" applyAlignment="1">
      <alignment horizontal="center" wrapText="1"/>
    </xf>
    <xf numFmtId="14" fontId="3" fillId="0" borderId="16" xfId="0" applyNumberFormat="1" applyFont="1" applyBorder="1" applyAlignment="1">
      <alignment horizontal="center" wrapText="1"/>
    </xf>
    <xf numFmtId="3" fontId="3" fillId="0" borderId="16" xfId="0" applyNumberFormat="1" applyFont="1" applyBorder="1" applyAlignment="1">
      <alignment horizontal="right" wrapText="1"/>
    </xf>
    <xf numFmtId="1" fontId="3" fillId="0" borderId="16" xfId="0" applyNumberFormat="1" applyFont="1" applyBorder="1" applyAlignment="1">
      <alignment wrapText="1"/>
    </xf>
    <xf numFmtId="1" fontId="3" fillId="0" borderId="14" xfId="0" applyNumberFormat="1" applyFont="1" applyBorder="1" applyAlignment="1">
      <alignment wrapText="1"/>
    </xf>
    <xf numFmtId="3" fontId="2" fillId="0" borderId="2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3" fontId="6" fillId="4" borderId="6" xfId="0" applyNumberFormat="1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8" fillId="4" borderId="8" xfId="0" applyFont="1" applyFill="1" applyBorder="1" applyAlignment="1">
      <alignment horizontal="right" vertical="center" wrapText="1"/>
    </xf>
    <xf numFmtId="0" fontId="8" fillId="4" borderId="15" xfId="0" applyFont="1" applyFill="1" applyBorder="1" applyAlignment="1">
      <alignment horizontal="right" vertical="center" wrapText="1"/>
    </xf>
    <xf numFmtId="0" fontId="8" fillId="4" borderId="9" xfId="0" applyFont="1" applyFill="1" applyBorder="1" applyAlignment="1">
      <alignment horizontal="right" vertical="center" wrapText="1"/>
    </xf>
    <xf numFmtId="0" fontId="7" fillId="4" borderId="17" xfId="0" applyFont="1" applyFill="1" applyBorder="1" applyAlignment="1">
      <alignment horizontal="right" wrapText="1"/>
    </xf>
    <xf numFmtId="0" fontId="7" fillId="4" borderId="18" xfId="0" applyFont="1" applyFill="1" applyBorder="1" applyAlignment="1">
      <alignment horizontal="right" wrapText="1"/>
    </xf>
    <xf numFmtId="0" fontId="7" fillId="4" borderId="19" xfId="0" applyFont="1" applyFill="1" applyBorder="1" applyAlignment="1">
      <alignment horizontal="right" wrapText="1"/>
    </xf>
    <xf numFmtId="0" fontId="0" fillId="4" borderId="6" xfId="0" applyFill="1" applyBorder="1" applyAlignment="1">
      <alignment horizontal="center"/>
    </xf>
    <xf numFmtId="0" fontId="9" fillId="5" borderId="2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st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zoomScaleNormal="100" workbookViewId="0">
      <selection activeCell="H8" sqref="H8"/>
    </sheetView>
  </sheetViews>
  <sheetFormatPr defaultRowHeight="15" x14ac:dyDescent="0.25"/>
  <cols>
    <col min="1" max="1" width="25.140625" customWidth="1"/>
    <col min="2" max="2" width="30" customWidth="1"/>
    <col min="3" max="3" width="10.140625" customWidth="1"/>
    <col min="5" max="5" width="12.140625" customWidth="1"/>
    <col min="6" max="6" width="13" customWidth="1"/>
    <col min="7" max="7" width="12.42578125" bestFit="1" customWidth="1"/>
    <col min="8" max="9" width="7.42578125" customWidth="1"/>
    <col min="10" max="10" width="9.28515625" customWidth="1"/>
    <col min="11" max="11" width="7.5703125" customWidth="1"/>
    <col min="12" max="12" width="11" customWidth="1"/>
    <col min="13" max="14" width="27.28515625" customWidth="1"/>
    <col min="15" max="15" width="28.28515625" customWidth="1"/>
    <col min="16" max="16" width="19.42578125" customWidth="1"/>
    <col min="17" max="17" width="14.5703125" bestFit="1" customWidth="1"/>
    <col min="18" max="18" width="16.5703125" customWidth="1"/>
  </cols>
  <sheetData>
    <row r="1" spans="1:19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9</v>
      </c>
      <c r="L1" s="1" t="s">
        <v>10</v>
      </c>
      <c r="M1" s="1" t="s">
        <v>11</v>
      </c>
      <c r="N1" s="58" t="s">
        <v>146</v>
      </c>
      <c r="O1" s="1" t="s">
        <v>12</v>
      </c>
      <c r="P1" s="1" t="s">
        <v>13</v>
      </c>
      <c r="Q1" s="56" t="s">
        <v>142</v>
      </c>
      <c r="R1" s="56" t="s">
        <v>143</v>
      </c>
      <c r="S1" s="56" t="s">
        <v>144</v>
      </c>
    </row>
    <row r="2" spans="1:19" s="6" customFormat="1" ht="30" customHeight="1" thickBot="1" x14ac:dyDescent="0.3">
      <c r="A2" s="2" t="s">
        <v>20</v>
      </c>
      <c r="B2" s="2" t="s">
        <v>21</v>
      </c>
      <c r="C2" s="3">
        <v>30.71</v>
      </c>
      <c r="D2" s="2">
        <v>624</v>
      </c>
      <c r="E2" s="59">
        <v>41424</v>
      </c>
      <c r="F2" s="4">
        <v>30000</v>
      </c>
      <c r="G2" s="59">
        <v>40213</v>
      </c>
      <c r="H2" s="5" t="s">
        <v>22</v>
      </c>
      <c r="I2" s="5" t="s">
        <v>14</v>
      </c>
      <c r="J2">
        <v>1501</v>
      </c>
      <c r="K2" s="3">
        <v>59452</v>
      </c>
      <c r="L2" s="3">
        <v>30.71</v>
      </c>
      <c r="M2" s="5" t="s">
        <v>16</v>
      </c>
      <c r="N2" s="5"/>
      <c r="O2" s="2" t="s">
        <v>23</v>
      </c>
      <c r="P2" s="2" t="s">
        <v>24</v>
      </c>
    </row>
    <row r="3" spans="1:19" s="6" customFormat="1" ht="30" customHeight="1" thickBot="1" x14ac:dyDescent="0.3">
      <c r="A3" s="2" t="s">
        <v>20</v>
      </c>
      <c r="B3" s="2" t="s">
        <v>21</v>
      </c>
      <c r="C3" s="3">
        <v>30.71</v>
      </c>
      <c r="D3" s="2">
        <v>625</v>
      </c>
      <c r="E3" s="59">
        <v>41424</v>
      </c>
      <c r="F3" s="4">
        <v>30000</v>
      </c>
      <c r="G3" s="59">
        <v>40213</v>
      </c>
      <c r="H3" s="5" t="s">
        <v>22</v>
      </c>
      <c r="I3" s="5" t="s">
        <v>14</v>
      </c>
      <c r="J3">
        <v>1501</v>
      </c>
      <c r="K3" s="3">
        <v>59452</v>
      </c>
      <c r="L3" s="3">
        <v>30.71</v>
      </c>
      <c r="M3" s="5" t="s">
        <v>16</v>
      </c>
      <c r="N3" s="5"/>
      <c r="O3" s="2" t="s">
        <v>23</v>
      </c>
      <c r="P3" s="2" t="s">
        <v>24</v>
      </c>
    </row>
    <row r="4" spans="1:19" s="6" customFormat="1" ht="30" customHeight="1" thickBot="1" x14ac:dyDescent="0.3">
      <c r="A4" s="2" t="s">
        <v>20</v>
      </c>
      <c r="B4" s="2" t="s">
        <v>21</v>
      </c>
      <c r="C4" s="3">
        <v>30.71</v>
      </c>
      <c r="D4" s="2">
        <v>626</v>
      </c>
      <c r="E4" s="59">
        <v>41424</v>
      </c>
      <c r="F4" s="4">
        <v>30000</v>
      </c>
      <c r="G4" s="59">
        <v>40213</v>
      </c>
      <c r="H4" s="5" t="s">
        <v>22</v>
      </c>
      <c r="I4" s="5" t="s">
        <v>14</v>
      </c>
      <c r="J4">
        <v>1501</v>
      </c>
      <c r="K4" s="3">
        <v>59452</v>
      </c>
      <c r="L4" s="3">
        <v>30.71</v>
      </c>
      <c r="M4" s="5" t="s">
        <v>16</v>
      </c>
      <c r="N4" s="5"/>
      <c r="O4" s="2" t="s">
        <v>23</v>
      </c>
      <c r="P4" s="2" t="s">
        <v>24</v>
      </c>
    </row>
    <row r="5" spans="1:19" s="6" customFormat="1" ht="30" customHeight="1" thickBot="1" x14ac:dyDescent="0.3">
      <c r="A5" s="2" t="s">
        <v>25</v>
      </c>
      <c r="B5" s="2" t="s">
        <v>26</v>
      </c>
      <c r="C5" s="3">
        <v>4.3899999999999997</v>
      </c>
      <c r="D5" s="2">
        <v>447</v>
      </c>
      <c r="E5" s="59">
        <v>41452</v>
      </c>
      <c r="F5" s="4">
        <v>38500</v>
      </c>
      <c r="G5" s="59">
        <v>40585</v>
      </c>
      <c r="H5" s="5" t="s">
        <v>22</v>
      </c>
      <c r="I5" s="5" t="s">
        <v>14</v>
      </c>
      <c r="J5">
        <v>4044</v>
      </c>
      <c r="K5" s="3">
        <v>59452</v>
      </c>
      <c r="L5" s="3">
        <v>4.3899999999999997</v>
      </c>
      <c r="M5" s="5" t="s">
        <v>16</v>
      </c>
      <c r="N5" s="5"/>
      <c r="O5" s="2" t="s">
        <v>27</v>
      </c>
      <c r="P5" s="2" t="s">
        <v>28</v>
      </c>
    </row>
    <row r="6" spans="1:19" s="6" customFormat="1" ht="30" customHeight="1" thickBot="1" x14ac:dyDescent="0.3">
      <c r="A6" s="2" t="s">
        <v>29</v>
      </c>
      <c r="B6" s="2"/>
      <c r="C6" s="3"/>
      <c r="D6" s="2">
        <v>2007</v>
      </c>
      <c r="E6" s="59">
        <v>41486</v>
      </c>
      <c r="F6" s="4">
        <v>1928</v>
      </c>
      <c r="G6" s="59">
        <v>40585</v>
      </c>
      <c r="H6" s="5"/>
      <c r="I6" s="5" t="s">
        <v>14</v>
      </c>
      <c r="J6">
        <v>0</v>
      </c>
      <c r="K6" s="3">
        <v>59452</v>
      </c>
      <c r="L6" s="3"/>
      <c r="M6" s="5" t="s">
        <v>16</v>
      </c>
      <c r="N6" s="5"/>
      <c r="O6" s="2"/>
      <c r="P6" s="2"/>
    </row>
    <row r="7" spans="1:19" s="6" customFormat="1" ht="30" customHeight="1" thickBot="1" x14ac:dyDescent="0.3">
      <c r="A7" s="2" t="s">
        <v>34</v>
      </c>
      <c r="B7" s="2" t="s">
        <v>35</v>
      </c>
      <c r="C7" s="3">
        <v>60.99</v>
      </c>
      <c r="D7" s="2">
        <v>528</v>
      </c>
      <c r="E7" s="59">
        <v>41576</v>
      </c>
      <c r="F7" s="40">
        <v>9280</v>
      </c>
      <c r="G7" s="59">
        <v>40984</v>
      </c>
      <c r="H7" s="5" t="s">
        <v>22</v>
      </c>
      <c r="I7" s="5" t="s">
        <v>14</v>
      </c>
      <c r="J7">
        <v>7070</v>
      </c>
      <c r="K7" s="3">
        <v>59452</v>
      </c>
      <c r="L7" s="3">
        <v>62.33</v>
      </c>
      <c r="M7" s="5" t="s">
        <v>16</v>
      </c>
      <c r="N7" s="5"/>
      <c r="O7" s="2" t="s">
        <v>32</v>
      </c>
      <c r="P7" s="2" t="s">
        <v>33</v>
      </c>
    </row>
    <row r="8" spans="1:19" s="6" customFormat="1" ht="30" customHeight="1" thickBot="1" x14ac:dyDescent="0.3">
      <c r="A8" s="2" t="s">
        <v>34</v>
      </c>
      <c r="B8" s="2" t="s">
        <v>35</v>
      </c>
      <c r="C8" s="3">
        <v>60.99</v>
      </c>
      <c r="D8" s="2">
        <v>529</v>
      </c>
      <c r="E8" s="59">
        <v>41576</v>
      </c>
      <c r="F8" s="40">
        <v>64780</v>
      </c>
      <c r="G8" s="59">
        <v>40984</v>
      </c>
      <c r="H8" s="5" t="s">
        <v>22</v>
      </c>
      <c r="I8" s="5" t="s">
        <v>14</v>
      </c>
      <c r="J8">
        <v>7070</v>
      </c>
      <c r="K8" s="3">
        <v>59452</v>
      </c>
      <c r="L8" s="3">
        <v>62.33</v>
      </c>
      <c r="M8" s="5" t="s">
        <v>16</v>
      </c>
      <c r="N8" s="5"/>
      <c r="O8" s="2" t="s">
        <v>32</v>
      </c>
      <c r="P8" s="2" t="s">
        <v>33</v>
      </c>
    </row>
    <row r="9" spans="1:19" s="6" customFormat="1" ht="30" customHeight="1" thickBot="1" x14ac:dyDescent="0.3">
      <c r="A9" s="2" t="s">
        <v>34</v>
      </c>
      <c r="B9" s="2" t="s">
        <v>35</v>
      </c>
      <c r="C9" s="3">
        <v>60.99</v>
      </c>
      <c r="D9" s="2">
        <v>530</v>
      </c>
      <c r="E9" s="59">
        <v>41576</v>
      </c>
      <c r="F9" s="40">
        <v>88160</v>
      </c>
      <c r="G9" s="59">
        <v>40984</v>
      </c>
      <c r="H9" s="5" t="s">
        <v>22</v>
      </c>
      <c r="I9" s="5" t="s">
        <v>14</v>
      </c>
      <c r="J9">
        <v>7070</v>
      </c>
      <c r="K9" s="3">
        <v>59452</v>
      </c>
      <c r="L9" s="3">
        <v>62.33</v>
      </c>
      <c r="M9" s="5" t="s">
        <v>16</v>
      </c>
      <c r="N9" s="5"/>
      <c r="O9" s="2" t="s">
        <v>32</v>
      </c>
      <c r="P9" s="2" t="s">
        <v>33</v>
      </c>
    </row>
    <row r="10" spans="1:19" s="6" customFormat="1" ht="30" customHeight="1" thickBot="1" x14ac:dyDescent="0.3">
      <c r="A10" s="2" t="s">
        <v>34</v>
      </c>
      <c r="B10" s="2" t="s">
        <v>35</v>
      </c>
      <c r="C10" s="3">
        <v>60.99</v>
      </c>
      <c r="D10" s="2">
        <v>531</v>
      </c>
      <c r="E10" s="59">
        <v>41576</v>
      </c>
      <c r="F10" s="40">
        <v>339450</v>
      </c>
      <c r="G10" s="59">
        <v>40984</v>
      </c>
      <c r="H10" s="5" t="s">
        <v>22</v>
      </c>
      <c r="I10" s="5" t="s">
        <v>14</v>
      </c>
      <c r="J10">
        <v>7070</v>
      </c>
      <c r="K10" s="3">
        <v>59452</v>
      </c>
      <c r="L10" s="3">
        <v>62.33</v>
      </c>
      <c r="M10" s="5" t="s">
        <v>16</v>
      </c>
      <c r="N10" s="5"/>
      <c r="O10" s="2" t="s">
        <v>32</v>
      </c>
      <c r="P10" s="2" t="s">
        <v>33</v>
      </c>
    </row>
    <row r="11" spans="1:19" s="6" customFormat="1" ht="30" customHeight="1" thickBot="1" x14ac:dyDescent="0.3">
      <c r="A11" s="2" t="s">
        <v>34</v>
      </c>
      <c r="B11" s="2" t="s">
        <v>35</v>
      </c>
      <c r="C11" s="3">
        <v>60.99</v>
      </c>
      <c r="D11" s="2">
        <v>532</v>
      </c>
      <c r="E11" s="59">
        <v>41576</v>
      </c>
      <c r="F11" s="40">
        <v>110080</v>
      </c>
      <c r="G11" s="59">
        <v>40984</v>
      </c>
      <c r="H11" s="5" t="s">
        <v>22</v>
      </c>
      <c r="I11" s="5" t="s">
        <v>14</v>
      </c>
      <c r="J11">
        <v>7070</v>
      </c>
      <c r="K11" s="3">
        <v>59452</v>
      </c>
      <c r="L11" s="3">
        <v>62.33</v>
      </c>
      <c r="M11" s="5" t="s">
        <v>16</v>
      </c>
      <c r="N11" s="5"/>
      <c r="O11" s="2" t="s">
        <v>32</v>
      </c>
      <c r="P11" s="2" t="s">
        <v>33</v>
      </c>
    </row>
    <row r="12" spans="1:19" s="6" customFormat="1" ht="30" customHeight="1" thickBot="1" x14ac:dyDescent="0.3">
      <c r="A12" s="2" t="s">
        <v>30</v>
      </c>
      <c r="B12" s="2" t="s">
        <v>31</v>
      </c>
      <c r="C12" s="3">
        <v>7.35</v>
      </c>
      <c r="D12" s="2">
        <v>579</v>
      </c>
      <c r="E12" s="59">
        <v>41577</v>
      </c>
      <c r="F12" s="4">
        <v>201786</v>
      </c>
      <c r="G12" s="59">
        <v>40267</v>
      </c>
      <c r="H12" s="5" t="s">
        <v>22</v>
      </c>
      <c r="I12" s="5" t="s">
        <v>14</v>
      </c>
      <c r="J12">
        <v>1921</v>
      </c>
      <c r="K12" s="3">
        <v>59452</v>
      </c>
      <c r="L12" s="3">
        <v>7.38</v>
      </c>
      <c r="M12" s="5" t="s">
        <v>16</v>
      </c>
      <c r="N12" s="5"/>
      <c r="O12" s="2" t="s">
        <v>32</v>
      </c>
      <c r="P12" s="2" t="s">
        <v>33</v>
      </c>
    </row>
    <row r="13" spans="1:19" s="6" customFormat="1" ht="30" customHeight="1" thickBot="1" x14ac:dyDescent="0.3">
      <c r="A13" s="2" t="s">
        <v>29</v>
      </c>
      <c r="B13" s="2"/>
      <c r="C13" s="3"/>
      <c r="D13" s="2">
        <v>2022</v>
      </c>
      <c r="E13" s="59">
        <v>41578</v>
      </c>
      <c r="F13" s="3">
        <v>28</v>
      </c>
      <c r="G13" s="59">
        <v>40267</v>
      </c>
      <c r="H13" s="5"/>
      <c r="I13" s="5" t="s">
        <v>14</v>
      </c>
      <c r="J13">
        <v>1</v>
      </c>
      <c r="K13" s="3">
        <v>59452</v>
      </c>
      <c r="L13" s="3"/>
      <c r="M13" s="5" t="s">
        <v>16</v>
      </c>
      <c r="N13" s="5"/>
      <c r="O13" s="2"/>
      <c r="P13" s="2"/>
    </row>
    <row r="14" spans="1:19" s="6" customFormat="1" ht="30" customHeight="1" thickBot="1" x14ac:dyDescent="0.3">
      <c r="A14" s="2" t="s">
        <v>34</v>
      </c>
      <c r="B14" s="2" t="s">
        <v>35</v>
      </c>
      <c r="C14" s="3">
        <v>60.99</v>
      </c>
      <c r="D14" s="2">
        <v>134</v>
      </c>
      <c r="E14" s="59">
        <v>41590</v>
      </c>
      <c r="F14" s="4">
        <v>735000</v>
      </c>
      <c r="G14" s="59">
        <v>40984</v>
      </c>
      <c r="H14" s="5" t="s">
        <v>22</v>
      </c>
      <c r="I14" s="5" t="s">
        <v>14</v>
      </c>
      <c r="J14">
        <v>7070</v>
      </c>
      <c r="K14" s="3">
        <v>59452</v>
      </c>
      <c r="L14" s="3">
        <v>62.33</v>
      </c>
      <c r="M14" s="5" t="s">
        <v>16</v>
      </c>
      <c r="N14" s="5"/>
      <c r="O14" s="2" t="s">
        <v>32</v>
      </c>
      <c r="P14" s="2" t="s">
        <v>33</v>
      </c>
    </row>
    <row r="15" spans="1:19" s="6" customFormat="1" ht="30" customHeight="1" thickBot="1" x14ac:dyDescent="0.3">
      <c r="A15" s="2" t="s">
        <v>36</v>
      </c>
      <c r="B15" s="2" t="s">
        <v>37</v>
      </c>
      <c r="C15" s="3">
        <v>2.58</v>
      </c>
      <c r="D15" s="2">
        <v>500</v>
      </c>
      <c r="E15" s="59">
        <v>41639</v>
      </c>
      <c r="F15" s="4">
        <v>258300</v>
      </c>
      <c r="G15" s="59">
        <v>41604</v>
      </c>
      <c r="H15" s="5" t="s">
        <v>14</v>
      </c>
      <c r="I15" s="5" t="s">
        <v>14</v>
      </c>
      <c r="J15">
        <v>9505</v>
      </c>
      <c r="K15" s="3">
        <v>59421</v>
      </c>
      <c r="L15" s="3">
        <v>2.58</v>
      </c>
      <c r="M15" s="5" t="s">
        <v>38</v>
      </c>
      <c r="N15" s="5"/>
      <c r="O15" s="2" t="s">
        <v>39</v>
      </c>
      <c r="P15" s="2" t="s">
        <v>17</v>
      </c>
    </row>
    <row r="16" spans="1:19" s="6" customFormat="1" ht="30" customHeight="1" thickBot="1" x14ac:dyDescent="0.3">
      <c r="A16" s="2" t="s">
        <v>40</v>
      </c>
      <c r="B16" s="2" t="s">
        <v>41</v>
      </c>
      <c r="C16" s="3">
        <v>0.48</v>
      </c>
      <c r="D16" s="2">
        <v>30</v>
      </c>
      <c r="E16" s="59">
        <v>41641</v>
      </c>
      <c r="F16" s="4">
        <v>48092</v>
      </c>
      <c r="G16" s="59">
        <v>41604</v>
      </c>
      <c r="H16" s="5" t="s">
        <v>14</v>
      </c>
      <c r="I16" s="5" t="s">
        <v>14</v>
      </c>
      <c r="J16">
        <v>10154</v>
      </c>
      <c r="K16" s="3">
        <v>59452</v>
      </c>
      <c r="L16" s="3">
        <v>0.48</v>
      </c>
      <c r="M16" s="5" t="s">
        <v>16</v>
      </c>
      <c r="N16" s="5"/>
      <c r="O16" s="2" t="s">
        <v>42</v>
      </c>
      <c r="P16" s="2" t="s">
        <v>43</v>
      </c>
    </row>
    <row r="17" spans="1:16" s="6" customFormat="1" ht="30" customHeight="1" thickBot="1" x14ac:dyDescent="0.3">
      <c r="A17" s="2" t="s">
        <v>44</v>
      </c>
      <c r="B17" s="2" t="s">
        <v>45</v>
      </c>
      <c r="C17" s="3">
        <v>1</v>
      </c>
      <c r="D17" s="2">
        <v>247</v>
      </c>
      <c r="E17" s="59">
        <v>41647</v>
      </c>
      <c r="F17" s="4">
        <v>100464</v>
      </c>
      <c r="G17" s="59">
        <v>41596</v>
      </c>
      <c r="H17" s="5" t="s">
        <v>14</v>
      </c>
      <c r="I17" s="5" t="s">
        <v>14</v>
      </c>
      <c r="J17">
        <v>9499</v>
      </c>
      <c r="K17" s="3">
        <v>59452</v>
      </c>
      <c r="L17" s="3">
        <v>1</v>
      </c>
      <c r="M17" s="5" t="s">
        <v>16</v>
      </c>
      <c r="N17" s="5"/>
      <c r="O17" s="2" t="s">
        <v>46</v>
      </c>
      <c r="P17" s="2" t="s">
        <v>17</v>
      </c>
    </row>
    <row r="18" spans="1:16" s="6" customFormat="1" ht="30" customHeight="1" thickBot="1" x14ac:dyDescent="0.3">
      <c r="A18" s="2" t="s">
        <v>47</v>
      </c>
      <c r="B18" s="2" t="s">
        <v>48</v>
      </c>
      <c r="C18" s="3">
        <v>1.0900000000000001</v>
      </c>
      <c r="D18" s="2">
        <v>309</v>
      </c>
      <c r="E18" s="59">
        <v>41648</v>
      </c>
      <c r="F18" s="4">
        <v>98800</v>
      </c>
      <c r="G18" s="59">
        <v>41620</v>
      </c>
      <c r="H18" s="5" t="s">
        <v>14</v>
      </c>
      <c r="I18" s="5" t="s">
        <v>14</v>
      </c>
      <c r="J18">
        <v>9597</v>
      </c>
      <c r="K18" s="3">
        <v>59452</v>
      </c>
      <c r="L18" s="3">
        <v>1.0900000000000001</v>
      </c>
      <c r="M18" s="5" t="s">
        <v>16</v>
      </c>
      <c r="N18" s="5"/>
      <c r="O18" s="2" t="s">
        <v>49</v>
      </c>
      <c r="P18" s="2" t="s">
        <v>17</v>
      </c>
    </row>
    <row r="19" spans="1:16" s="6" customFormat="1" ht="30" customHeight="1" thickBot="1" x14ac:dyDescent="0.3">
      <c r="A19" s="2" t="s">
        <v>47</v>
      </c>
      <c r="B19" s="2" t="s">
        <v>48</v>
      </c>
      <c r="C19" s="3">
        <v>1.0900000000000001</v>
      </c>
      <c r="D19" s="2">
        <v>310</v>
      </c>
      <c r="E19" s="59">
        <v>41648</v>
      </c>
      <c r="F19" s="4">
        <v>10400</v>
      </c>
      <c r="G19" s="59">
        <v>41620</v>
      </c>
      <c r="H19" s="5" t="s">
        <v>14</v>
      </c>
      <c r="I19" s="5" t="s">
        <v>14</v>
      </c>
      <c r="J19">
        <v>9597</v>
      </c>
      <c r="K19" s="3">
        <v>59452</v>
      </c>
      <c r="L19" s="3">
        <v>1.0900000000000001</v>
      </c>
      <c r="M19" s="5" t="s">
        <v>16</v>
      </c>
      <c r="N19" s="5"/>
      <c r="O19" s="2" t="s">
        <v>49</v>
      </c>
      <c r="P19" s="2" t="s">
        <v>17</v>
      </c>
    </row>
    <row r="20" spans="1:16" s="6" customFormat="1" ht="30" customHeight="1" thickBot="1" x14ac:dyDescent="0.3">
      <c r="A20" s="2" t="s">
        <v>50</v>
      </c>
      <c r="B20" s="2" t="s">
        <v>51</v>
      </c>
      <c r="C20" s="3">
        <v>2.38</v>
      </c>
      <c r="D20" s="2">
        <v>676</v>
      </c>
      <c r="E20" s="59">
        <v>41669</v>
      </c>
      <c r="F20" s="4">
        <v>215175</v>
      </c>
      <c r="G20" s="59">
        <v>41621</v>
      </c>
      <c r="H20" s="5" t="s">
        <v>14</v>
      </c>
      <c r="I20" s="5" t="s">
        <v>14</v>
      </c>
      <c r="J20">
        <v>9602</v>
      </c>
      <c r="K20" s="3">
        <v>59452</v>
      </c>
      <c r="L20" s="3">
        <v>2.37</v>
      </c>
      <c r="M20" s="5" t="s">
        <v>16</v>
      </c>
      <c r="N20" s="5"/>
      <c r="O20" s="2" t="s">
        <v>52</v>
      </c>
      <c r="P20" s="2" t="s">
        <v>17</v>
      </c>
    </row>
    <row r="21" spans="1:16" s="6" customFormat="1" ht="30" customHeight="1" thickBot="1" x14ac:dyDescent="0.3">
      <c r="A21" s="2" t="s">
        <v>29</v>
      </c>
      <c r="B21" s="2"/>
      <c r="C21" s="3"/>
      <c r="D21" s="2">
        <v>2044</v>
      </c>
      <c r="E21" s="59">
        <v>41670</v>
      </c>
      <c r="F21" s="4">
        <v>3875</v>
      </c>
      <c r="G21" s="59">
        <v>41621</v>
      </c>
      <c r="H21" s="5"/>
      <c r="I21" s="5" t="s">
        <v>14</v>
      </c>
      <c r="J21">
        <v>2</v>
      </c>
      <c r="K21" s="3">
        <v>59452</v>
      </c>
      <c r="L21" s="3"/>
      <c r="M21" s="5" t="s">
        <v>16</v>
      </c>
      <c r="N21" s="5"/>
      <c r="O21" s="2"/>
      <c r="P21" s="2"/>
    </row>
    <row r="22" spans="1:16" s="6" customFormat="1" ht="30" customHeight="1" thickBot="1" x14ac:dyDescent="0.3">
      <c r="A22" s="2" t="s">
        <v>29</v>
      </c>
      <c r="B22" s="2"/>
      <c r="C22" s="3"/>
      <c r="D22" s="2">
        <v>2044</v>
      </c>
      <c r="E22" s="59">
        <v>41670</v>
      </c>
      <c r="F22" s="4">
        <v>23229</v>
      </c>
      <c r="G22" s="59">
        <v>41621</v>
      </c>
      <c r="H22" s="5"/>
      <c r="I22" s="5" t="s">
        <v>14</v>
      </c>
      <c r="J22">
        <v>3</v>
      </c>
      <c r="K22" s="3">
        <v>59452</v>
      </c>
      <c r="L22" s="3"/>
      <c r="M22" s="5" t="s">
        <v>16</v>
      </c>
      <c r="N22" s="5"/>
      <c r="O22" s="2"/>
      <c r="P22" s="2"/>
    </row>
    <row r="23" spans="1:16" s="6" customFormat="1" ht="30" customHeight="1" thickBot="1" x14ac:dyDescent="0.3">
      <c r="A23" s="2" t="s">
        <v>53</v>
      </c>
      <c r="B23" s="2" t="s">
        <v>54</v>
      </c>
      <c r="C23" s="3">
        <v>9.36</v>
      </c>
      <c r="D23" s="2">
        <v>189</v>
      </c>
      <c r="E23" s="59">
        <v>41680</v>
      </c>
      <c r="F23" s="4">
        <v>891589</v>
      </c>
      <c r="G23" s="59">
        <v>41523</v>
      </c>
      <c r="H23" s="5" t="s">
        <v>14</v>
      </c>
      <c r="I23" s="5" t="s">
        <v>14</v>
      </c>
      <c r="J23">
        <v>9144</v>
      </c>
      <c r="K23" s="3">
        <v>59421</v>
      </c>
      <c r="L23" s="3">
        <v>9.36</v>
      </c>
      <c r="M23" s="5" t="s">
        <v>38</v>
      </c>
      <c r="N23" s="5"/>
      <c r="O23" s="2" t="s">
        <v>52</v>
      </c>
      <c r="P23" s="2" t="s">
        <v>17</v>
      </c>
    </row>
    <row r="24" spans="1:16" s="6" customFormat="1" ht="30" customHeight="1" thickBot="1" x14ac:dyDescent="0.3">
      <c r="A24" s="2" t="s">
        <v>55</v>
      </c>
      <c r="B24" s="2" t="s">
        <v>56</v>
      </c>
      <c r="C24" s="3">
        <v>4.51</v>
      </c>
      <c r="D24" s="2">
        <v>433</v>
      </c>
      <c r="E24" s="59">
        <v>41694</v>
      </c>
      <c r="F24" s="4">
        <v>388028</v>
      </c>
      <c r="G24" s="59">
        <v>41620</v>
      </c>
      <c r="H24" s="5" t="s">
        <v>14</v>
      </c>
      <c r="I24" s="5" t="s">
        <v>14</v>
      </c>
      <c r="J24">
        <v>9620</v>
      </c>
      <c r="K24" s="3">
        <v>59453</v>
      </c>
      <c r="L24" s="3">
        <v>4.51</v>
      </c>
      <c r="M24" s="5" t="s">
        <v>15</v>
      </c>
      <c r="N24" s="5"/>
      <c r="O24" s="2" t="s">
        <v>52</v>
      </c>
      <c r="P24" s="2" t="s">
        <v>17</v>
      </c>
    </row>
    <row r="25" spans="1:16" s="6" customFormat="1" ht="30" customHeight="1" thickBot="1" x14ac:dyDescent="0.3">
      <c r="A25" s="2" t="s">
        <v>57</v>
      </c>
      <c r="B25" s="2" t="s">
        <v>58</v>
      </c>
      <c r="C25" s="7">
        <v>4785.76</v>
      </c>
      <c r="D25" s="2">
        <v>651</v>
      </c>
      <c r="E25" s="59">
        <v>41698</v>
      </c>
      <c r="F25" s="4">
        <v>6200000</v>
      </c>
      <c r="G25" s="59">
        <v>41234</v>
      </c>
      <c r="H25" s="5" t="s">
        <v>59</v>
      </c>
      <c r="I25" s="5" t="s">
        <v>14</v>
      </c>
      <c r="J25">
        <v>6404</v>
      </c>
      <c r="K25" s="3">
        <v>59453</v>
      </c>
      <c r="L25" s="7">
        <v>4858.6899999999996</v>
      </c>
      <c r="M25" s="5" t="s">
        <v>15</v>
      </c>
      <c r="N25" s="5"/>
      <c r="O25" s="2" t="s">
        <v>60</v>
      </c>
      <c r="P25" s="2" t="s">
        <v>61</v>
      </c>
    </row>
    <row r="26" spans="1:16" s="6" customFormat="1" ht="30" customHeight="1" thickBot="1" x14ac:dyDescent="0.3">
      <c r="A26" s="2" t="s">
        <v>50</v>
      </c>
      <c r="B26" s="2" t="s">
        <v>51</v>
      </c>
      <c r="C26" s="3">
        <v>2.38</v>
      </c>
      <c r="D26" s="2">
        <v>60</v>
      </c>
      <c r="E26" s="59">
        <v>41703</v>
      </c>
      <c r="F26" s="4">
        <v>22150</v>
      </c>
      <c r="G26" s="59">
        <v>41621</v>
      </c>
      <c r="H26" s="5" t="s">
        <v>14</v>
      </c>
      <c r="I26" s="5" t="s">
        <v>14</v>
      </c>
      <c r="J26">
        <v>9602</v>
      </c>
      <c r="K26" s="3">
        <v>59452</v>
      </c>
      <c r="L26" s="3">
        <v>2.37</v>
      </c>
      <c r="M26" s="5" t="s">
        <v>16</v>
      </c>
      <c r="N26" s="5"/>
      <c r="O26" s="2" t="s">
        <v>52</v>
      </c>
      <c r="P26" s="2" t="s">
        <v>17</v>
      </c>
    </row>
    <row r="27" spans="1:16" s="6" customFormat="1" ht="30" customHeight="1" thickBot="1" x14ac:dyDescent="0.3">
      <c r="A27" s="2" t="s">
        <v>29</v>
      </c>
      <c r="B27" s="2"/>
      <c r="C27" s="3"/>
      <c r="D27" s="2">
        <v>2061</v>
      </c>
      <c r="E27" s="59">
        <v>41708</v>
      </c>
      <c r="F27" s="4">
        <v>-6200000</v>
      </c>
      <c r="G27" s="59">
        <v>41621</v>
      </c>
      <c r="H27" s="5"/>
      <c r="I27" s="5" t="s">
        <v>14</v>
      </c>
      <c r="J27">
        <v>4</v>
      </c>
      <c r="K27" s="3">
        <v>59453</v>
      </c>
      <c r="L27" s="3"/>
      <c r="M27" s="5" t="s">
        <v>15</v>
      </c>
      <c r="N27" s="5"/>
      <c r="O27" s="2"/>
      <c r="P27" s="2"/>
    </row>
    <row r="28" spans="1:16" s="6" customFormat="1" ht="30" customHeight="1" thickBot="1" x14ac:dyDescent="0.3">
      <c r="A28" s="2" t="s">
        <v>62</v>
      </c>
      <c r="B28" s="2" t="s">
        <v>63</v>
      </c>
      <c r="C28" s="3">
        <v>0.18</v>
      </c>
      <c r="D28" s="2">
        <v>134</v>
      </c>
      <c r="E28" s="59">
        <v>41710</v>
      </c>
      <c r="F28" s="4">
        <v>17903</v>
      </c>
      <c r="G28" s="59">
        <v>41675</v>
      </c>
      <c r="H28" s="5" t="s">
        <v>14</v>
      </c>
      <c r="I28" s="5" t="s">
        <v>14</v>
      </c>
      <c r="J28">
        <v>9846</v>
      </c>
      <c r="K28" s="3">
        <v>59452</v>
      </c>
      <c r="L28" s="3">
        <v>0.18</v>
      </c>
      <c r="M28" s="5" t="s">
        <v>16</v>
      </c>
      <c r="N28" s="5"/>
      <c r="O28" s="2" t="s">
        <v>64</v>
      </c>
      <c r="P28" s="2" t="s">
        <v>17</v>
      </c>
    </row>
    <row r="29" spans="1:16" s="6" customFormat="1" ht="30" customHeight="1" thickBot="1" x14ac:dyDescent="0.3">
      <c r="A29" s="2" t="s">
        <v>65</v>
      </c>
      <c r="B29" s="2" t="s">
        <v>63</v>
      </c>
      <c r="C29" s="3">
        <v>0.11</v>
      </c>
      <c r="D29" s="2">
        <v>162</v>
      </c>
      <c r="E29" s="59">
        <v>41710</v>
      </c>
      <c r="F29" s="4">
        <v>10500</v>
      </c>
      <c r="G29" s="59">
        <v>41675</v>
      </c>
      <c r="H29" s="5" t="s">
        <v>14</v>
      </c>
      <c r="I29" s="5" t="s">
        <v>14</v>
      </c>
      <c r="J29">
        <v>9844</v>
      </c>
      <c r="K29" s="3">
        <v>59452</v>
      </c>
      <c r="L29" s="3">
        <v>0.11</v>
      </c>
      <c r="M29" s="5" t="s">
        <v>16</v>
      </c>
      <c r="N29" s="5"/>
      <c r="O29" s="2" t="s">
        <v>64</v>
      </c>
      <c r="P29" s="2" t="s">
        <v>17</v>
      </c>
    </row>
    <row r="30" spans="1:16" s="6" customFormat="1" ht="30" customHeight="1" thickBot="1" x14ac:dyDescent="0.3">
      <c r="A30" s="2" t="s">
        <v>66</v>
      </c>
      <c r="B30" s="2" t="s">
        <v>67</v>
      </c>
      <c r="C30" s="3">
        <v>5.74</v>
      </c>
      <c r="D30" s="2">
        <v>258</v>
      </c>
      <c r="E30" s="59">
        <v>41716</v>
      </c>
      <c r="F30" s="4">
        <v>26670</v>
      </c>
      <c r="G30" s="59">
        <v>41575</v>
      </c>
      <c r="H30" s="5" t="s">
        <v>14</v>
      </c>
      <c r="I30" s="5" t="s">
        <v>14</v>
      </c>
      <c r="J30">
        <v>10026</v>
      </c>
      <c r="K30" s="3">
        <v>59452</v>
      </c>
      <c r="L30" s="3">
        <v>0.27</v>
      </c>
      <c r="M30" s="5" t="s">
        <v>16</v>
      </c>
      <c r="N30" s="5"/>
      <c r="O30" s="2" t="s">
        <v>46</v>
      </c>
      <c r="P30" s="2" t="s">
        <v>17</v>
      </c>
    </row>
    <row r="31" spans="1:16" s="6" customFormat="1" ht="30" customHeight="1" thickBot="1" x14ac:dyDescent="0.3">
      <c r="A31" s="2" t="s">
        <v>68</v>
      </c>
      <c r="B31" s="2" t="s">
        <v>69</v>
      </c>
      <c r="C31" s="3">
        <v>3.32</v>
      </c>
      <c r="D31" s="2">
        <v>270</v>
      </c>
      <c r="E31" s="59">
        <v>41716</v>
      </c>
      <c r="F31" s="4">
        <v>331856</v>
      </c>
      <c r="G31" s="59">
        <v>41662</v>
      </c>
      <c r="H31" s="5" t="s">
        <v>14</v>
      </c>
      <c r="I31" s="5" t="s">
        <v>14</v>
      </c>
      <c r="J31">
        <v>9554</v>
      </c>
      <c r="K31" s="3">
        <v>59452</v>
      </c>
      <c r="L31" s="3">
        <v>3.32</v>
      </c>
      <c r="M31" s="5" t="s">
        <v>16</v>
      </c>
      <c r="N31" s="5"/>
      <c r="O31" s="2" t="s">
        <v>39</v>
      </c>
      <c r="P31" s="2" t="s">
        <v>17</v>
      </c>
    </row>
    <row r="32" spans="1:16" s="6" customFormat="1" ht="30" customHeight="1" thickBot="1" x14ac:dyDescent="0.3">
      <c r="A32" s="2" t="s">
        <v>55</v>
      </c>
      <c r="B32" s="2" t="s">
        <v>56</v>
      </c>
      <c r="C32" s="3">
        <v>4.51</v>
      </c>
      <c r="D32" s="2">
        <v>292</v>
      </c>
      <c r="E32" s="59">
        <v>41716</v>
      </c>
      <c r="F32" s="4">
        <v>63368</v>
      </c>
      <c r="G32" s="59">
        <v>41620</v>
      </c>
      <c r="H32" s="5" t="s">
        <v>14</v>
      </c>
      <c r="I32" s="5" t="s">
        <v>14</v>
      </c>
      <c r="J32">
        <v>9620</v>
      </c>
      <c r="K32" s="3">
        <v>59452</v>
      </c>
      <c r="L32" s="3">
        <v>4.51</v>
      </c>
      <c r="M32" s="5" t="s">
        <v>16</v>
      </c>
      <c r="N32" s="5"/>
      <c r="O32" s="2" t="s">
        <v>52</v>
      </c>
      <c r="P32" s="2" t="s">
        <v>17</v>
      </c>
    </row>
    <row r="33" spans="1:16" s="6" customFormat="1" ht="30" customHeight="1" thickBot="1" x14ac:dyDescent="0.3">
      <c r="A33" s="2" t="s">
        <v>70</v>
      </c>
      <c r="B33" s="2" t="s">
        <v>71</v>
      </c>
      <c r="C33" s="3">
        <v>3.35</v>
      </c>
      <c r="D33" s="2">
        <v>549</v>
      </c>
      <c r="E33" s="59">
        <v>41724</v>
      </c>
      <c r="F33" s="4">
        <v>33750</v>
      </c>
      <c r="G33" s="59">
        <v>41607</v>
      </c>
      <c r="H33" s="5" t="s">
        <v>14</v>
      </c>
      <c r="I33" s="5" t="s">
        <v>14</v>
      </c>
      <c r="J33">
        <v>10109</v>
      </c>
      <c r="K33" s="3">
        <v>59452</v>
      </c>
      <c r="L33" s="3">
        <v>0.34</v>
      </c>
      <c r="M33" s="5" t="s">
        <v>16</v>
      </c>
      <c r="N33" s="5"/>
      <c r="O33" s="2" t="s">
        <v>46</v>
      </c>
      <c r="P33" s="2" t="s">
        <v>17</v>
      </c>
    </row>
    <row r="34" spans="1:16" s="6" customFormat="1" ht="30" customHeight="1" thickBot="1" x14ac:dyDescent="0.3">
      <c r="A34" s="2" t="s">
        <v>29</v>
      </c>
      <c r="B34" s="2"/>
      <c r="C34" s="3"/>
      <c r="D34" s="2">
        <v>2069</v>
      </c>
      <c r="E34" s="59">
        <v>41729</v>
      </c>
      <c r="F34" s="4">
        <v>11218</v>
      </c>
      <c r="G34" s="59">
        <v>41607</v>
      </c>
      <c r="H34" s="5"/>
      <c r="I34" s="5" t="s">
        <v>14</v>
      </c>
      <c r="J34">
        <v>5</v>
      </c>
      <c r="K34" s="3">
        <v>59421</v>
      </c>
      <c r="L34" s="3"/>
      <c r="M34" s="5" t="s">
        <v>38</v>
      </c>
      <c r="N34" s="5"/>
      <c r="O34" s="2"/>
      <c r="P34" s="2"/>
    </row>
    <row r="35" spans="1:16" s="6" customFormat="1" ht="30" customHeight="1" thickBot="1" x14ac:dyDescent="0.3">
      <c r="A35" s="2" t="s">
        <v>29</v>
      </c>
      <c r="B35" s="2"/>
      <c r="C35" s="3"/>
      <c r="D35" s="2">
        <v>2069</v>
      </c>
      <c r="E35" s="59">
        <v>41729</v>
      </c>
      <c r="F35" s="4">
        <v>23728</v>
      </c>
      <c r="G35" s="59">
        <v>41607</v>
      </c>
      <c r="H35" s="5"/>
      <c r="I35" s="5" t="s">
        <v>14</v>
      </c>
      <c r="J35">
        <v>6</v>
      </c>
      <c r="K35" s="3">
        <v>59421</v>
      </c>
      <c r="L35" s="3"/>
      <c r="M35" s="5" t="s">
        <v>38</v>
      </c>
      <c r="N35" s="5"/>
      <c r="O35" s="2"/>
      <c r="P35" s="2"/>
    </row>
    <row r="36" spans="1:16" s="6" customFormat="1" ht="30" customHeight="1" thickBot="1" x14ac:dyDescent="0.3">
      <c r="A36" s="2" t="s">
        <v>29</v>
      </c>
      <c r="B36" s="2"/>
      <c r="C36" s="3"/>
      <c r="D36" s="2">
        <v>2069</v>
      </c>
      <c r="E36" s="59">
        <v>41729</v>
      </c>
      <c r="F36" s="4">
        <v>17248</v>
      </c>
      <c r="G36" s="59">
        <v>41607</v>
      </c>
      <c r="H36" s="5"/>
      <c r="I36" s="5" t="s">
        <v>14</v>
      </c>
      <c r="J36">
        <v>7</v>
      </c>
      <c r="K36" s="3">
        <v>59421</v>
      </c>
      <c r="L36" s="3"/>
      <c r="M36" s="5" t="s">
        <v>38</v>
      </c>
      <c r="N36" s="5"/>
      <c r="O36" s="2"/>
      <c r="P36" s="2"/>
    </row>
    <row r="37" spans="1:16" s="6" customFormat="1" ht="30" customHeight="1" thickBot="1" x14ac:dyDescent="0.3">
      <c r="A37" s="2" t="s">
        <v>29</v>
      </c>
      <c r="B37" s="2"/>
      <c r="C37" s="3"/>
      <c r="D37" s="2">
        <v>2069</v>
      </c>
      <c r="E37" s="59">
        <v>41729</v>
      </c>
      <c r="F37" s="4">
        <v>127585</v>
      </c>
      <c r="G37" s="59">
        <v>41607</v>
      </c>
      <c r="H37" s="5"/>
      <c r="I37" s="5" t="s">
        <v>14</v>
      </c>
      <c r="J37">
        <v>8</v>
      </c>
      <c r="K37" s="3">
        <v>59452</v>
      </c>
      <c r="L37" s="3"/>
      <c r="M37" s="5" t="s">
        <v>16</v>
      </c>
      <c r="N37" s="5"/>
      <c r="O37" s="2"/>
      <c r="P37" s="2"/>
    </row>
    <row r="38" spans="1:16" s="6" customFormat="1" ht="30" customHeight="1" thickBot="1" x14ac:dyDescent="0.3">
      <c r="A38" s="41" t="s">
        <v>29</v>
      </c>
      <c r="B38" s="41"/>
      <c r="C38" s="42"/>
      <c r="D38" s="41">
        <v>2069</v>
      </c>
      <c r="E38" s="60">
        <v>41729</v>
      </c>
      <c r="F38" s="43">
        <v>100000</v>
      </c>
      <c r="G38" s="59">
        <v>41607</v>
      </c>
      <c r="H38" s="5"/>
      <c r="I38" s="5" t="s">
        <v>14</v>
      </c>
      <c r="J38">
        <v>9</v>
      </c>
      <c r="K38" s="3">
        <v>59452</v>
      </c>
      <c r="L38" s="3"/>
      <c r="M38" s="5" t="s">
        <v>16</v>
      </c>
      <c r="N38" s="5"/>
      <c r="O38" s="2"/>
      <c r="P38" s="2"/>
    </row>
    <row r="39" spans="1:16" s="6" customFormat="1" ht="30" customHeight="1" thickBot="1" x14ac:dyDescent="0.3">
      <c r="A39" s="45" t="s">
        <v>126</v>
      </c>
      <c r="B39" s="45"/>
      <c r="C39" s="45"/>
      <c r="D39" s="45"/>
      <c r="E39" s="45"/>
      <c r="F39" s="44">
        <f>SUM(F2:F38)</f>
        <v>4502920</v>
      </c>
      <c r="G39" s="46"/>
      <c r="H39" s="46"/>
      <c r="I39" s="46"/>
      <c r="J39" s="46"/>
      <c r="K39" s="46"/>
      <c r="L39" s="46"/>
      <c r="M39" s="46"/>
      <c r="N39" s="46"/>
      <c r="O39" s="46"/>
      <c r="P39" s="47"/>
    </row>
  </sheetData>
  <mergeCells count="2">
    <mergeCell ref="A39:E39"/>
    <mergeCell ref="G39:P39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C1" zoomScale="85" zoomScaleNormal="85" workbookViewId="0">
      <selection activeCell="Q2" sqref="Q2:S2"/>
    </sheetView>
  </sheetViews>
  <sheetFormatPr defaultRowHeight="15" x14ac:dyDescent="0.25"/>
  <cols>
    <col min="1" max="1" width="9.85546875" customWidth="1"/>
    <col min="2" max="2" width="57.85546875" customWidth="1"/>
    <col min="3" max="3" width="10.140625" customWidth="1"/>
    <col min="5" max="5" width="13.28515625" customWidth="1"/>
    <col min="6" max="6" width="13" customWidth="1"/>
    <col min="7" max="7" width="11.42578125" customWidth="1"/>
    <col min="8" max="10" width="7.42578125" customWidth="1"/>
    <col min="11" max="11" width="7.5703125" customWidth="1"/>
    <col min="12" max="12" width="11" customWidth="1"/>
    <col min="13" max="14" width="27.28515625" customWidth="1"/>
    <col min="15" max="15" width="22.140625" customWidth="1"/>
    <col min="16" max="16" width="19.42578125" customWidth="1"/>
  </cols>
  <sheetData>
    <row r="1" spans="1:19" ht="24" customHeight="1" thickBot="1" x14ac:dyDescent="0.4">
      <c r="A1" s="48" t="s">
        <v>128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9" ht="39.950000000000003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19</v>
      </c>
      <c r="K2" s="10" t="s">
        <v>9</v>
      </c>
      <c r="L2" s="10" t="s">
        <v>10</v>
      </c>
      <c r="M2" s="10" t="s">
        <v>11</v>
      </c>
      <c r="N2" s="57" t="s">
        <v>145</v>
      </c>
      <c r="O2" s="10" t="s">
        <v>12</v>
      </c>
      <c r="P2" s="10" t="s">
        <v>13</v>
      </c>
      <c r="Q2" s="56" t="s">
        <v>142</v>
      </c>
      <c r="R2" s="56" t="s">
        <v>143</v>
      </c>
      <c r="S2" s="56" t="s">
        <v>144</v>
      </c>
    </row>
    <row r="3" spans="1:19" ht="49.5" x14ac:dyDescent="0.25">
      <c r="A3" s="11"/>
      <c r="B3" s="12" t="s">
        <v>91</v>
      </c>
      <c r="C3" s="11"/>
      <c r="D3" s="13">
        <v>91</v>
      </c>
      <c r="E3" s="14">
        <v>41612</v>
      </c>
      <c r="F3" s="15">
        <v>23911419</v>
      </c>
      <c r="G3" s="11"/>
      <c r="H3" s="11"/>
      <c r="I3" s="11">
        <v>712</v>
      </c>
      <c r="J3" s="13">
        <v>6008</v>
      </c>
      <c r="K3" s="11"/>
      <c r="L3" s="11"/>
      <c r="M3" s="16">
        <v>486160203440053</v>
      </c>
      <c r="N3" s="16"/>
      <c r="O3" s="11"/>
      <c r="P3" s="11"/>
    </row>
    <row r="4" spans="1:19" ht="49.5" x14ac:dyDescent="0.25">
      <c r="A4" s="17"/>
      <c r="B4" s="18" t="s">
        <v>119</v>
      </c>
      <c r="C4" s="17"/>
      <c r="D4" s="19">
        <v>680</v>
      </c>
      <c r="E4" s="20">
        <v>41722</v>
      </c>
      <c r="F4" s="21">
        <v>443118</v>
      </c>
      <c r="G4" s="17"/>
      <c r="H4" s="17"/>
      <c r="I4" s="17">
        <v>712</v>
      </c>
      <c r="J4" s="19">
        <v>6796</v>
      </c>
      <c r="K4" s="17"/>
      <c r="L4" s="17"/>
      <c r="M4" s="22">
        <v>486160203440053</v>
      </c>
      <c r="N4" s="22"/>
      <c r="O4" s="17"/>
      <c r="P4" s="17"/>
    </row>
    <row r="5" spans="1:19" ht="49.5" x14ac:dyDescent="0.25">
      <c r="A5" s="17"/>
      <c r="B5" s="18" t="s">
        <v>95</v>
      </c>
      <c r="C5" s="17"/>
      <c r="D5" s="19">
        <v>473</v>
      </c>
      <c r="E5" s="20">
        <v>41627</v>
      </c>
      <c r="F5" s="23">
        <v>0</v>
      </c>
      <c r="G5" s="17"/>
      <c r="H5" s="17"/>
      <c r="I5" s="17">
        <v>712</v>
      </c>
      <c r="J5" s="19">
        <v>6798</v>
      </c>
      <c r="K5" s="17"/>
      <c r="L5" s="17"/>
      <c r="M5" s="22">
        <v>486160203440053</v>
      </c>
      <c r="N5" s="22"/>
      <c r="O5" s="17"/>
      <c r="P5" s="17"/>
    </row>
    <row r="6" spans="1:19" ht="49.5" x14ac:dyDescent="0.25">
      <c r="A6" s="17"/>
      <c r="B6" s="18" t="s">
        <v>95</v>
      </c>
      <c r="C6" s="17"/>
      <c r="D6" s="19">
        <v>603</v>
      </c>
      <c r="E6" s="20">
        <v>41635</v>
      </c>
      <c r="F6" s="21">
        <v>475217</v>
      </c>
      <c r="G6" s="17"/>
      <c r="H6" s="17"/>
      <c r="I6" s="17">
        <v>712</v>
      </c>
      <c r="J6" s="19">
        <v>6798</v>
      </c>
      <c r="K6" s="17"/>
      <c r="L6" s="17"/>
      <c r="M6" s="22">
        <v>486160203440053</v>
      </c>
      <c r="N6" s="22"/>
      <c r="O6" s="17"/>
      <c r="P6" s="17"/>
    </row>
    <row r="7" spans="1:19" ht="49.5" x14ac:dyDescent="0.25">
      <c r="A7" s="17"/>
      <c r="B7" s="18" t="s">
        <v>102</v>
      </c>
      <c r="C7" s="17"/>
      <c r="D7" s="19">
        <v>774</v>
      </c>
      <c r="E7" s="20">
        <v>41670</v>
      </c>
      <c r="F7" s="21">
        <v>278544</v>
      </c>
      <c r="G7" s="17"/>
      <c r="H7" s="17"/>
      <c r="I7" s="17">
        <v>712</v>
      </c>
      <c r="J7" s="19">
        <v>6824</v>
      </c>
      <c r="K7" s="17"/>
      <c r="L7" s="17"/>
      <c r="M7" s="22">
        <v>486160203440053</v>
      </c>
      <c r="N7" s="22"/>
      <c r="O7" s="17"/>
      <c r="P7" s="17"/>
    </row>
    <row r="8" spans="1:19" ht="33" x14ac:dyDescent="0.25">
      <c r="A8" s="17"/>
      <c r="B8" s="18" t="s">
        <v>117</v>
      </c>
      <c r="C8" s="17"/>
      <c r="D8" s="19">
        <v>506</v>
      </c>
      <c r="E8" s="20">
        <v>41716</v>
      </c>
      <c r="F8" s="21">
        <v>323533</v>
      </c>
      <c r="G8" s="17"/>
      <c r="H8" s="17"/>
      <c r="I8" s="17">
        <v>712</v>
      </c>
      <c r="J8" s="19">
        <v>6825</v>
      </c>
      <c r="K8" s="17"/>
      <c r="L8" s="17"/>
      <c r="M8" s="22">
        <v>486160203440053</v>
      </c>
      <c r="N8" s="22"/>
      <c r="O8" s="17"/>
      <c r="P8" s="17"/>
    </row>
    <row r="9" spans="1:19" ht="49.5" x14ac:dyDescent="0.25">
      <c r="A9" s="17"/>
      <c r="B9" s="18" t="s">
        <v>79</v>
      </c>
      <c r="C9" s="17"/>
      <c r="D9" s="19">
        <v>841</v>
      </c>
      <c r="E9" s="20">
        <v>41578</v>
      </c>
      <c r="F9" s="21">
        <v>256095</v>
      </c>
      <c r="G9" s="17"/>
      <c r="H9" s="17"/>
      <c r="I9" s="17">
        <v>712</v>
      </c>
      <c r="J9" s="19">
        <v>6829</v>
      </c>
      <c r="K9" s="17"/>
      <c r="L9" s="17"/>
      <c r="M9" s="22">
        <v>486160203440053</v>
      </c>
      <c r="N9" s="22"/>
      <c r="O9" s="17"/>
      <c r="P9" s="17"/>
    </row>
    <row r="10" spans="1:19" ht="49.5" x14ac:dyDescent="0.25">
      <c r="A10" s="17"/>
      <c r="B10" s="18" t="s">
        <v>79</v>
      </c>
      <c r="C10" s="17"/>
      <c r="D10" s="19">
        <v>240</v>
      </c>
      <c r="E10" s="20">
        <v>41677</v>
      </c>
      <c r="F10" s="21">
        <v>145692</v>
      </c>
      <c r="G10" s="17"/>
      <c r="H10" s="17"/>
      <c r="I10" s="17">
        <v>712</v>
      </c>
      <c r="J10" s="19">
        <v>6829</v>
      </c>
      <c r="K10" s="17"/>
      <c r="L10" s="17"/>
      <c r="M10" s="22">
        <v>486160203440053</v>
      </c>
      <c r="N10" s="22"/>
      <c r="O10" s="17"/>
      <c r="P10" s="17"/>
    </row>
    <row r="11" spans="1:19" ht="49.5" x14ac:dyDescent="0.25">
      <c r="A11" s="17"/>
      <c r="B11" s="18" t="s">
        <v>112</v>
      </c>
      <c r="C11" s="17"/>
      <c r="D11" s="19">
        <v>612</v>
      </c>
      <c r="E11" s="20">
        <v>41696</v>
      </c>
      <c r="F11" s="21">
        <v>2133000</v>
      </c>
      <c r="G11" s="17"/>
      <c r="H11" s="17"/>
      <c r="I11" s="17">
        <v>712</v>
      </c>
      <c r="J11" s="19">
        <v>6835</v>
      </c>
      <c r="K11" s="17"/>
      <c r="L11" s="17"/>
      <c r="M11" s="22">
        <v>486160203440053</v>
      </c>
      <c r="N11" s="22"/>
      <c r="O11" s="17"/>
      <c r="P11" s="17"/>
    </row>
    <row r="12" spans="1:19" ht="49.5" x14ac:dyDescent="0.25">
      <c r="A12" s="17"/>
      <c r="B12" s="18" t="s">
        <v>98</v>
      </c>
      <c r="C12" s="17"/>
      <c r="D12" s="19">
        <v>288</v>
      </c>
      <c r="E12" s="20">
        <v>41649</v>
      </c>
      <c r="F12" s="21">
        <v>5100172</v>
      </c>
      <c r="G12" s="17"/>
      <c r="H12" s="17"/>
      <c r="I12" s="17">
        <v>712</v>
      </c>
      <c r="J12" s="19">
        <v>6844</v>
      </c>
      <c r="K12" s="17"/>
      <c r="L12" s="17"/>
      <c r="M12" s="22">
        <v>486160203440053</v>
      </c>
      <c r="N12" s="22"/>
      <c r="O12" s="17"/>
      <c r="P12" s="17"/>
    </row>
    <row r="13" spans="1:19" ht="49.5" x14ac:dyDescent="0.25">
      <c r="A13" s="17"/>
      <c r="B13" s="18" t="s">
        <v>98</v>
      </c>
      <c r="C13" s="17"/>
      <c r="D13" s="19">
        <v>342</v>
      </c>
      <c r="E13" s="20">
        <v>41710</v>
      </c>
      <c r="F13" s="21">
        <v>3291310</v>
      </c>
      <c r="G13" s="17"/>
      <c r="H13" s="17"/>
      <c r="I13" s="17">
        <v>712</v>
      </c>
      <c r="J13" s="19">
        <v>6844</v>
      </c>
      <c r="K13" s="17"/>
      <c r="L13" s="17"/>
      <c r="M13" s="22">
        <v>486160203440053</v>
      </c>
      <c r="N13" s="22"/>
      <c r="O13" s="17"/>
      <c r="P13" s="17"/>
    </row>
    <row r="14" spans="1:19" ht="49.5" x14ac:dyDescent="0.25">
      <c r="A14" s="17"/>
      <c r="B14" s="18" t="s">
        <v>76</v>
      </c>
      <c r="C14" s="17"/>
      <c r="D14" s="19">
        <v>276</v>
      </c>
      <c r="E14" s="20">
        <v>41556</v>
      </c>
      <c r="F14" s="21">
        <v>1260000</v>
      </c>
      <c r="G14" s="17"/>
      <c r="H14" s="17"/>
      <c r="I14" s="17">
        <v>712</v>
      </c>
      <c r="J14" s="19">
        <v>6846</v>
      </c>
      <c r="K14" s="17"/>
      <c r="L14" s="17"/>
      <c r="M14" s="22">
        <v>486160203440053</v>
      </c>
      <c r="N14" s="22"/>
      <c r="O14" s="17"/>
      <c r="P14" s="17"/>
    </row>
    <row r="15" spans="1:19" ht="49.5" x14ac:dyDescent="0.25">
      <c r="A15" s="17"/>
      <c r="B15" s="18" t="s">
        <v>76</v>
      </c>
      <c r="C15" s="17"/>
      <c r="D15" s="19">
        <v>605</v>
      </c>
      <c r="E15" s="20">
        <v>41635</v>
      </c>
      <c r="F15" s="21">
        <v>1075496</v>
      </c>
      <c r="G15" s="17"/>
      <c r="H15" s="17"/>
      <c r="I15" s="17">
        <v>712</v>
      </c>
      <c r="J15" s="19">
        <v>6846</v>
      </c>
      <c r="K15" s="17"/>
      <c r="L15" s="17"/>
      <c r="M15" s="22">
        <v>486160203440053</v>
      </c>
      <c r="N15" s="22"/>
      <c r="O15" s="17"/>
      <c r="P15" s="17"/>
    </row>
    <row r="16" spans="1:19" ht="49.5" x14ac:dyDescent="0.25">
      <c r="A16" s="17"/>
      <c r="B16" s="18" t="s">
        <v>76</v>
      </c>
      <c r="C16" s="17"/>
      <c r="D16" s="19">
        <v>484</v>
      </c>
      <c r="E16" s="20">
        <v>41690</v>
      </c>
      <c r="F16" s="21">
        <v>1787402</v>
      </c>
      <c r="G16" s="17"/>
      <c r="H16" s="17"/>
      <c r="I16" s="17">
        <v>712</v>
      </c>
      <c r="J16" s="19">
        <v>6846</v>
      </c>
      <c r="K16" s="17"/>
      <c r="L16" s="17"/>
      <c r="M16" s="22">
        <v>486160203440053</v>
      </c>
      <c r="N16" s="22"/>
      <c r="O16" s="17"/>
      <c r="P16" s="17"/>
    </row>
    <row r="17" spans="1:16" ht="33" x14ac:dyDescent="0.25">
      <c r="A17" s="17"/>
      <c r="B17" s="18" t="s">
        <v>115</v>
      </c>
      <c r="C17" s="17"/>
      <c r="D17" s="19">
        <v>404</v>
      </c>
      <c r="E17" s="20">
        <v>41712</v>
      </c>
      <c r="F17" s="21">
        <v>4072295</v>
      </c>
      <c r="G17" s="17"/>
      <c r="H17" s="17"/>
      <c r="I17" s="17">
        <v>712</v>
      </c>
      <c r="J17" s="19">
        <v>6878</v>
      </c>
      <c r="K17" s="17"/>
      <c r="L17" s="17"/>
      <c r="M17" s="22">
        <v>486160203440053</v>
      </c>
      <c r="N17" s="22"/>
      <c r="O17" s="17"/>
      <c r="P17" s="17"/>
    </row>
    <row r="18" spans="1:16" ht="33" x14ac:dyDescent="0.25">
      <c r="A18" s="17"/>
      <c r="B18" s="18" t="s">
        <v>104</v>
      </c>
      <c r="C18" s="17"/>
      <c r="D18" s="19">
        <v>100</v>
      </c>
      <c r="E18" s="20">
        <v>41674</v>
      </c>
      <c r="F18" s="21">
        <v>4181424</v>
      </c>
      <c r="G18" s="17"/>
      <c r="H18" s="17"/>
      <c r="I18" s="17">
        <v>712</v>
      </c>
      <c r="J18" s="19">
        <v>6882</v>
      </c>
      <c r="K18" s="17"/>
      <c r="L18" s="17"/>
      <c r="M18" s="22">
        <v>486160203440053</v>
      </c>
      <c r="N18" s="22"/>
      <c r="O18" s="17"/>
      <c r="P18" s="17"/>
    </row>
    <row r="19" spans="1:16" ht="33" x14ac:dyDescent="0.25">
      <c r="A19" s="17"/>
      <c r="B19" s="18" t="s">
        <v>104</v>
      </c>
      <c r="C19" s="17"/>
      <c r="D19" s="19">
        <v>638</v>
      </c>
      <c r="E19" s="20">
        <v>41719</v>
      </c>
      <c r="F19" s="21">
        <v>2913736</v>
      </c>
      <c r="G19" s="17"/>
      <c r="H19" s="17"/>
      <c r="I19" s="17">
        <v>712</v>
      </c>
      <c r="J19" s="19">
        <v>6882</v>
      </c>
      <c r="K19" s="17"/>
      <c r="L19" s="17"/>
      <c r="M19" s="22">
        <v>486160203440053</v>
      </c>
      <c r="N19" s="22"/>
      <c r="O19" s="17"/>
      <c r="P19" s="17"/>
    </row>
    <row r="20" spans="1:16" ht="49.5" x14ac:dyDescent="0.25">
      <c r="A20" s="17"/>
      <c r="B20" s="18" t="s">
        <v>108</v>
      </c>
      <c r="C20" s="17"/>
      <c r="D20" s="19">
        <v>478</v>
      </c>
      <c r="E20" s="20">
        <v>41690</v>
      </c>
      <c r="F20" s="21">
        <v>476273</v>
      </c>
      <c r="G20" s="17"/>
      <c r="H20" s="17"/>
      <c r="I20" s="17">
        <v>712</v>
      </c>
      <c r="J20" s="19">
        <v>6892</v>
      </c>
      <c r="K20" s="17"/>
      <c r="L20" s="17"/>
      <c r="M20" s="22">
        <v>486160203440053</v>
      </c>
      <c r="N20" s="22"/>
      <c r="O20" s="17"/>
      <c r="P20" s="17"/>
    </row>
    <row r="21" spans="1:16" ht="33" x14ac:dyDescent="0.25">
      <c r="A21" s="17"/>
      <c r="B21" s="18" t="s">
        <v>81</v>
      </c>
      <c r="C21" s="17"/>
      <c r="D21" s="19">
        <v>43</v>
      </c>
      <c r="E21" s="20">
        <v>41579</v>
      </c>
      <c r="F21" s="21">
        <v>163621</v>
      </c>
      <c r="G21" s="17"/>
      <c r="H21" s="17"/>
      <c r="I21" s="17">
        <v>712</v>
      </c>
      <c r="J21" s="19">
        <v>6909</v>
      </c>
      <c r="K21" s="17"/>
      <c r="L21" s="17"/>
      <c r="M21" s="22">
        <v>486160203440053</v>
      </c>
      <c r="N21" s="22"/>
      <c r="O21" s="17"/>
      <c r="P21" s="17"/>
    </row>
    <row r="22" spans="1:16" ht="33" x14ac:dyDescent="0.25">
      <c r="A22" s="17"/>
      <c r="B22" s="18" t="s">
        <v>81</v>
      </c>
      <c r="C22" s="17"/>
      <c r="D22" s="19">
        <v>185</v>
      </c>
      <c r="E22" s="20">
        <v>41614</v>
      </c>
      <c r="F22" s="21">
        <v>274644</v>
      </c>
      <c r="G22" s="17"/>
      <c r="H22" s="17"/>
      <c r="I22" s="17">
        <v>712</v>
      </c>
      <c r="J22" s="19">
        <v>6909</v>
      </c>
      <c r="K22" s="17"/>
      <c r="L22" s="17"/>
      <c r="M22" s="22">
        <v>486160203440053</v>
      </c>
      <c r="N22" s="22"/>
      <c r="O22" s="17"/>
      <c r="P22" s="17"/>
    </row>
    <row r="23" spans="1:16" ht="33" x14ac:dyDescent="0.25">
      <c r="A23" s="17"/>
      <c r="B23" s="18" t="s">
        <v>81</v>
      </c>
      <c r="C23" s="17"/>
      <c r="D23" s="19">
        <v>775</v>
      </c>
      <c r="E23" s="20">
        <v>41670</v>
      </c>
      <c r="F23" s="21">
        <v>55690</v>
      </c>
      <c r="G23" s="17"/>
      <c r="H23" s="17"/>
      <c r="I23" s="17">
        <v>712</v>
      </c>
      <c r="J23" s="19">
        <v>6909</v>
      </c>
      <c r="K23" s="17"/>
      <c r="L23" s="17"/>
      <c r="M23" s="22">
        <v>486160203440053</v>
      </c>
      <c r="N23" s="22"/>
      <c r="O23" s="17"/>
      <c r="P23" s="17"/>
    </row>
    <row r="24" spans="1:16" ht="33" x14ac:dyDescent="0.25">
      <c r="A24" s="17"/>
      <c r="B24" s="18" t="s">
        <v>100</v>
      </c>
      <c r="C24" s="17"/>
      <c r="D24" s="19">
        <v>492</v>
      </c>
      <c r="E24" s="20">
        <v>41661</v>
      </c>
      <c r="F24" s="21">
        <v>3528410</v>
      </c>
      <c r="G24" s="17"/>
      <c r="H24" s="17"/>
      <c r="I24" s="17">
        <v>712</v>
      </c>
      <c r="J24" s="19">
        <v>6912</v>
      </c>
      <c r="K24" s="17"/>
      <c r="L24" s="17"/>
      <c r="M24" s="22">
        <v>486160203440053</v>
      </c>
      <c r="N24" s="22"/>
      <c r="O24" s="17"/>
      <c r="P24" s="17"/>
    </row>
    <row r="25" spans="1:16" ht="33" x14ac:dyDescent="0.25">
      <c r="A25" s="17"/>
      <c r="B25" s="18" t="s">
        <v>109</v>
      </c>
      <c r="C25" s="17"/>
      <c r="D25" s="19">
        <v>481</v>
      </c>
      <c r="E25" s="20">
        <v>41690</v>
      </c>
      <c r="F25" s="21">
        <v>241594</v>
      </c>
      <c r="G25" s="17"/>
      <c r="H25" s="17"/>
      <c r="I25" s="17">
        <v>712</v>
      </c>
      <c r="J25" s="19">
        <v>6913</v>
      </c>
      <c r="K25" s="17"/>
      <c r="L25" s="17"/>
      <c r="M25" s="22">
        <v>486160203440053</v>
      </c>
      <c r="N25" s="22"/>
      <c r="O25" s="17"/>
      <c r="P25" s="17"/>
    </row>
    <row r="26" spans="1:16" ht="33" x14ac:dyDescent="0.25">
      <c r="A26" s="17"/>
      <c r="B26" s="18" t="s">
        <v>111</v>
      </c>
      <c r="C26" s="17"/>
      <c r="D26" s="19">
        <v>603</v>
      </c>
      <c r="E26" s="20">
        <v>41696</v>
      </c>
      <c r="F26" s="21">
        <v>943760</v>
      </c>
      <c r="G26" s="17"/>
      <c r="H26" s="17"/>
      <c r="I26" s="17">
        <v>712</v>
      </c>
      <c r="J26" s="19">
        <v>6926</v>
      </c>
      <c r="K26" s="17"/>
      <c r="L26" s="17"/>
      <c r="M26" s="22">
        <v>486160203440053</v>
      </c>
      <c r="N26" s="22"/>
      <c r="O26" s="17"/>
      <c r="P26" s="17"/>
    </row>
    <row r="27" spans="1:16" ht="16.5" x14ac:dyDescent="0.25">
      <c r="A27" s="17"/>
      <c r="B27" s="18" t="s">
        <v>110</v>
      </c>
      <c r="C27" s="17"/>
      <c r="D27" s="19">
        <v>482</v>
      </c>
      <c r="E27" s="20">
        <v>41690</v>
      </c>
      <c r="F27" s="21">
        <v>412367</v>
      </c>
      <c r="G27" s="17"/>
      <c r="H27" s="17"/>
      <c r="I27" s="17">
        <v>712</v>
      </c>
      <c r="J27" s="19">
        <v>6942</v>
      </c>
      <c r="K27" s="17"/>
      <c r="L27" s="17"/>
      <c r="M27" s="22">
        <v>486160203440053</v>
      </c>
      <c r="N27" s="22"/>
      <c r="O27" s="17"/>
      <c r="P27" s="17"/>
    </row>
    <row r="28" spans="1:16" ht="33" x14ac:dyDescent="0.25">
      <c r="A28" s="17"/>
      <c r="B28" s="18" t="s">
        <v>113</v>
      </c>
      <c r="C28" s="17"/>
      <c r="D28" s="19">
        <v>319</v>
      </c>
      <c r="E28" s="20">
        <v>41710</v>
      </c>
      <c r="F28" s="21">
        <v>3366396</v>
      </c>
      <c r="G28" s="17"/>
      <c r="H28" s="17"/>
      <c r="I28" s="17">
        <v>712</v>
      </c>
      <c r="J28" s="19">
        <v>6943</v>
      </c>
      <c r="K28" s="17"/>
      <c r="L28" s="17"/>
      <c r="M28" s="22">
        <v>486160203440053</v>
      </c>
      <c r="N28" s="22"/>
      <c r="O28" s="17"/>
      <c r="P28" s="17"/>
    </row>
    <row r="29" spans="1:16" ht="33" x14ac:dyDescent="0.25">
      <c r="A29" s="17"/>
      <c r="B29" s="18" t="s">
        <v>118</v>
      </c>
      <c r="C29" s="17"/>
      <c r="D29" s="19">
        <v>640</v>
      </c>
      <c r="E29" s="20">
        <v>41719</v>
      </c>
      <c r="F29" s="21">
        <v>1425180</v>
      </c>
      <c r="G29" s="17"/>
      <c r="H29" s="17"/>
      <c r="I29" s="17">
        <v>712</v>
      </c>
      <c r="J29" s="19">
        <v>6948</v>
      </c>
      <c r="K29" s="17"/>
      <c r="L29" s="17"/>
      <c r="M29" s="22">
        <v>486160203440053</v>
      </c>
      <c r="N29" s="22"/>
      <c r="O29" s="17"/>
      <c r="P29" s="17"/>
    </row>
    <row r="30" spans="1:16" ht="49.5" x14ac:dyDescent="0.25">
      <c r="A30" s="17"/>
      <c r="B30" s="18" t="s">
        <v>114</v>
      </c>
      <c r="C30" s="17"/>
      <c r="D30" s="19">
        <v>341</v>
      </c>
      <c r="E30" s="20">
        <v>41710</v>
      </c>
      <c r="F30" s="21">
        <v>28800</v>
      </c>
      <c r="G30" s="17"/>
      <c r="H30" s="17"/>
      <c r="I30" s="17">
        <v>712</v>
      </c>
      <c r="J30" s="19">
        <v>6969</v>
      </c>
      <c r="K30" s="17"/>
      <c r="L30" s="17"/>
      <c r="M30" s="22">
        <v>486160203440053</v>
      </c>
      <c r="N30" s="22"/>
      <c r="O30" s="17"/>
      <c r="P30" s="17"/>
    </row>
    <row r="31" spans="1:16" ht="49.5" x14ac:dyDescent="0.25">
      <c r="A31" s="17"/>
      <c r="B31" s="18" t="s">
        <v>103</v>
      </c>
      <c r="C31" s="17"/>
      <c r="D31" s="19">
        <v>784</v>
      </c>
      <c r="E31" s="20">
        <v>41670</v>
      </c>
      <c r="F31" s="21">
        <v>312644</v>
      </c>
      <c r="G31" s="17"/>
      <c r="H31" s="17"/>
      <c r="I31" s="17">
        <v>712</v>
      </c>
      <c r="J31" s="19">
        <v>6994</v>
      </c>
      <c r="K31" s="17"/>
      <c r="L31" s="17"/>
      <c r="M31" s="22">
        <v>486160203440053</v>
      </c>
      <c r="N31" s="22"/>
      <c r="O31" s="17"/>
      <c r="P31" s="17"/>
    </row>
    <row r="32" spans="1:16" ht="49.5" x14ac:dyDescent="0.25">
      <c r="A32" s="17"/>
      <c r="B32" s="18" t="s">
        <v>103</v>
      </c>
      <c r="C32" s="17"/>
      <c r="D32" s="19">
        <v>514</v>
      </c>
      <c r="E32" s="20">
        <v>41716</v>
      </c>
      <c r="F32" s="21">
        <v>160346</v>
      </c>
      <c r="G32" s="17"/>
      <c r="H32" s="17"/>
      <c r="I32" s="17">
        <v>712</v>
      </c>
      <c r="J32" s="19">
        <v>6994</v>
      </c>
      <c r="K32" s="17"/>
      <c r="L32" s="17"/>
      <c r="M32" s="22">
        <v>486160203440053</v>
      </c>
      <c r="N32" s="22"/>
      <c r="O32" s="17"/>
      <c r="P32" s="17"/>
    </row>
    <row r="33" spans="1:16" ht="33" x14ac:dyDescent="0.25">
      <c r="A33" s="17"/>
      <c r="B33" s="18" t="s">
        <v>122</v>
      </c>
      <c r="C33" s="17"/>
      <c r="D33" s="19">
        <v>790</v>
      </c>
      <c r="E33" s="20">
        <v>41725</v>
      </c>
      <c r="F33" s="21">
        <v>1262072</v>
      </c>
      <c r="G33" s="17"/>
      <c r="H33" s="17"/>
      <c r="I33" s="17">
        <v>712</v>
      </c>
      <c r="J33" s="19">
        <v>7022</v>
      </c>
      <c r="K33" s="17"/>
      <c r="L33" s="17"/>
      <c r="M33" s="22">
        <v>486160203440053</v>
      </c>
      <c r="N33" s="22"/>
      <c r="O33" s="17"/>
      <c r="P33" s="17"/>
    </row>
    <row r="34" spans="1:16" ht="66" x14ac:dyDescent="0.25">
      <c r="A34" s="27"/>
      <c r="B34" s="26" t="s">
        <v>121</v>
      </c>
      <c r="C34" s="27"/>
      <c r="D34" s="28">
        <v>745</v>
      </c>
      <c r="E34" s="29">
        <v>41724</v>
      </c>
      <c r="F34" s="30">
        <v>306880</v>
      </c>
      <c r="G34" s="27"/>
      <c r="H34" s="27"/>
      <c r="I34" s="27">
        <v>712</v>
      </c>
      <c r="J34" s="28">
        <v>7056</v>
      </c>
      <c r="K34" s="27"/>
      <c r="L34" s="27"/>
      <c r="M34" s="39">
        <v>486160203440053</v>
      </c>
      <c r="N34" s="39"/>
      <c r="O34" s="27"/>
      <c r="P34" s="27"/>
    </row>
    <row r="35" spans="1:16" ht="16.5" customHeight="1" x14ac:dyDescent="0.25">
      <c r="A35" s="32"/>
      <c r="B35" s="52" t="s">
        <v>127</v>
      </c>
      <c r="C35" s="53"/>
      <c r="D35" s="53"/>
      <c r="E35" s="54"/>
      <c r="F35" s="8">
        <f>SUM(F3:F34)</f>
        <v>64607130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1:16" ht="16.5" customHeight="1" x14ac:dyDescent="0.25">
      <c r="A36" s="32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ht="16.5" x14ac:dyDescent="0.25">
      <c r="A37" s="33"/>
      <c r="B37" s="34" t="s">
        <v>72</v>
      </c>
      <c r="C37" s="33"/>
      <c r="D37" s="35">
        <v>830</v>
      </c>
      <c r="E37" s="36">
        <v>41486</v>
      </c>
      <c r="F37" s="37">
        <v>2900000</v>
      </c>
      <c r="G37" s="33"/>
      <c r="H37" s="33"/>
      <c r="I37" s="33">
        <v>712</v>
      </c>
      <c r="J37" s="33">
        <v>999999</v>
      </c>
      <c r="K37" s="33"/>
      <c r="L37" s="33"/>
      <c r="M37" s="38">
        <v>486160203440001</v>
      </c>
      <c r="N37" s="38"/>
      <c r="O37" s="33"/>
      <c r="P37" s="33"/>
    </row>
    <row r="38" spans="1:16" ht="16.5" x14ac:dyDescent="0.25">
      <c r="A38" s="17"/>
      <c r="B38" s="18" t="s">
        <v>18</v>
      </c>
      <c r="C38" s="17"/>
      <c r="D38" s="19">
        <v>4561</v>
      </c>
      <c r="E38" s="20">
        <v>41528</v>
      </c>
      <c r="F38" s="23">
        <v>-60</v>
      </c>
      <c r="G38" s="17"/>
      <c r="H38" s="17"/>
      <c r="I38" s="17">
        <v>712</v>
      </c>
      <c r="J38" s="33">
        <v>999999</v>
      </c>
      <c r="K38" s="17"/>
      <c r="L38" s="17"/>
      <c r="M38" s="22">
        <v>486160203440001</v>
      </c>
      <c r="N38" s="22"/>
      <c r="O38" s="17"/>
      <c r="P38" s="17"/>
    </row>
    <row r="39" spans="1:16" ht="16.5" x14ac:dyDescent="0.25">
      <c r="A39" s="17"/>
      <c r="B39" s="18" t="s">
        <v>74</v>
      </c>
      <c r="C39" s="17"/>
      <c r="D39" s="19">
        <v>621</v>
      </c>
      <c r="E39" s="20">
        <v>41547</v>
      </c>
      <c r="F39" s="21">
        <v>3036236</v>
      </c>
      <c r="G39" s="17"/>
      <c r="H39" s="17"/>
      <c r="I39" s="17">
        <v>712</v>
      </c>
      <c r="J39" s="33">
        <v>999999</v>
      </c>
      <c r="K39" s="17"/>
      <c r="L39" s="17"/>
      <c r="M39" s="22">
        <v>486160203440001</v>
      </c>
      <c r="N39" s="22"/>
      <c r="O39" s="17"/>
      <c r="P39" s="17"/>
    </row>
    <row r="40" spans="1:16" ht="16.5" x14ac:dyDescent="0.25">
      <c r="A40" s="17"/>
      <c r="B40" s="18" t="s">
        <v>75</v>
      </c>
      <c r="C40" s="17"/>
      <c r="D40" s="19">
        <v>622</v>
      </c>
      <c r="E40" s="20">
        <v>41547</v>
      </c>
      <c r="F40" s="21">
        <v>7305</v>
      </c>
      <c r="G40" s="17"/>
      <c r="H40" s="17"/>
      <c r="I40" s="17">
        <v>712</v>
      </c>
      <c r="J40" s="33">
        <v>999999</v>
      </c>
      <c r="K40" s="17"/>
      <c r="L40" s="17"/>
      <c r="M40" s="22">
        <v>486160203440001</v>
      </c>
      <c r="N40" s="22"/>
      <c r="O40" s="17"/>
      <c r="P40" s="17"/>
    </row>
    <row r="41" spans="1:16" ht="33" x14ac:dyDescent="0.25">
      <c r="A41" s="17"/>
      <c r="B41" s="18" t="s">
        <v>77</v>
      </c>
      <c r="C41" s="17"/>
      <c r="D41" s="19">
        <v>344</v>
      </c>
      <c r="E41" s="20">
        <v>41558</v>
      </c>
      <c r="F41" s="21">
        <v>3061914</v>
      </c>
      <c r="G41" s="17"/>
      <c r="H41" s="17"/>
      <c r="I41" s="17">
        <v>712</v>
      </c>
      <c r="J41" s="33">
        <v>999999</v>
      </c>
      <c r="K41" s="17"/>
      <c r="L41" s="17"/>
      <c r="M41" s="22">
        <v>486160203440001</v>
      </c>
      <c r="N41" s="22"/>
      <c r="O41" s="17"/>
      <c r="P41" s="17"/>
    </row>
    <row r="42" spans="1:16" ht="33" x14ac:dyDescent="0.25">
      <c r="A42" s="17"/>
      <c r="B42" s="18" t="s">
        <v>77</v>
      </c>
      <c r="C42" s="17"/>
      <c r="D42" s="19">
        <v>559</v>
      </c>
      <c r="E42" s="20">
        <v>41569</v>
      </c>
      <c r="F42" s="21">
        <v>211146</v>
      </c>
      <c r="G42" s="17"/>
      <c r="H42" s="17"/>
      <c r="I42" s="17">
        <v>712</v>
      </c>
      <c r="J42" s="33">
        <v>999999</v>
      </c>
      <c r="K42" s="17"/>
      <c r="L42" s="17"/>
      <c r="M42" s="22">
        <v>486160203440001</v>
      </c>
      <c r="N42" s="22"/>
      <c r="O42" s="17"/>
      <c r="P42" s="17"/>
    </row>
    <row r="43" spans="1:16" ht="33" x14ac:dyDescent="0.25">
      <c r="A43" s="17"/>
      <c r="B43" s="18" t="s">
        <v>77</v>
      </c>
      <c r="C43" s="17"/>
      <c r="D43" s="19">
        <v>709</v>
      </c>
      <c r="E43" s="20">
        <v>41575</v>
      </c>
      <c r="F43" s="21">
        <v>28794</v>
      </c>
      <c r="G43" s="17"/>
      <c r="H43" s="17"/>
      <c r="I43" s="17">
        <v>712</v>
      </c>
      <c r="J43" s="33">
        <v>999999</v>
      </c>
      <c r="K43" s="17"/>
      <c r="L43" s="17"/>
      <c r="M43" s="22">
        <v>486160203440001</v>
      </c>
      <c r="N43" s="22"/>
      <c r="O43" s="17"/>
      <c r="P43" s="17"/>
    </row>
    <row r="44" spans="1:16" ht="33" x14ac:dyDescent="0.25">
      <c r="A44" s="17"/>
      <c r="B44" s="18" t="s">
        <v>77</v>
      </c>
      <c r="C44" s="17"/>
      <c r="D44" s="19">
        <v>709</v>
      </c>
      <c r="E44" s="20">
        <v>41575</v>
      </c>
      <c r="F44" s="21">
        <v>29070</v>
      </c>
      <c r="G44" s="17"/>
      <c r="H44" s="17"/>
      <c r="I44" s="17">
        <v>712</v>
      </c>
      <c r="J44" s="33">
        <v>999999</v>
      </c>
      <c r="K44" s="17"/>
      <c r="L44" s="17"/>
      <c r="M44" s="22">
        <v>486160203440001</v>
      </c>
      <c r="N44" s="22"/>
      <c r="O44" s="17"/>
      <c r="P44" s="17"/>
    </row>
    <row r="45" spans="1:16" ht="16.5" x14ac:dyDescent="0.25">
      <c r="A45" s="17"/>
      <c r="B45" s="18" t="s">
        <v>78</v>
      </c>
      <c r="C45" s="17"/>
      <c r="D45" s="19">
        <v>795</v>
      </c>
      <c r="E45" s="20">
        <v>41578</v>
      </c>
      <c r="F45" s="21">
        <v>722295</v>
      </c>
      <c r="G45" s="17"/>
      <c r="H45" s="17"/>
      <c r="I45" s="17">
        <v>712</v>
      </c>
      <c r="J45" s="33">
        <v>999999</v>
      </c>
      <c r="K45" s="17"/>
      <c r="L45" s="17"/>
      <c r="M45" s="22">
        <v>486160203440001</v>
      </c>
      <c r="N45" s="22"/>
      <c r="O45" s="17"/>
      <c r="P45" s="17"/>
    </row>
    <row r="46" spans="1:16" ht="16.5" x14ac:dyDescent="0.25">
      <c r="A46" s="17"/>
      <c r="B46" s="18" t="s">
        <v>88</v>
      </c>
      <c r="C46" s="17"/>
      <c r="D46" s="19">
        <v>665</v>
      </c>
      <c r="E46" s="20">
        <v>41606</v>
      </c>
      <c r="F46" s="21">
        <v>1000000</v>
      </c>
      <c r="G46" s="17"/>
      <c r="H46" s="17"/>
      <c r="I46" s="17">
        <v>712</v>
      </c>
      <c r="J46" s="33">
        <v>999999</v>
      </c>
      <c r="K46" s="17"/>
      <c r="L46" s="17"/>
      <c r="M46" s="22">
        <v>486160203440001</v>
      </c>
      <c r="N46" s="22"/>
      <c r="O46" s="17"/>
      <c r="P46" s="17"/>
    </row>
    <row r="47" spans="1:16" ht="16.5" x14ac:dyDescent="0.25">
      <c r="A47" s="17"/>
      <c r="B47" s="18" t="s">
        <v>89</v>
      </c>
      <c r="C47" s="17"/>
      <c r="D47" s="19">
        <v>672</v>
      </c>
      <c r="E47" s="20">
        <v>41607</v>
      </c>
      <c r="F47" s="21">
        <v>104212</v>
      </c>
      <c r="G47" s="17"/>
      <c r="H47" s="17"/>
      <c r="I47" s="17">
        <v>712</v>
      </c>
      <c r="J47" s="17">
        <v>999996</v>
      </c>
      <c r="K47" s="17"/>
      <c r="L47" s="17"/>
      <c r="M47" s="22">
        <v>486160203440011</v>
      </c>
      <c r="N47" s="22"/>
      <c r="O47" s="17"/>
      <c r="P47" s="17"/>
    </row>
    <row r="48" spans="1:16" ht="16.5" x14ac:dyDescent="0.25">
      <c r="A48" s="17"/>
      <c r="B48" s="18" t="s">
        <v>89</v>
      </c>
      <c r="C48" s="17"/>
      <c r="D48" s="19">
        <v>672</v>
      </c>
      <c r="E48" s="20">
        <v>41607</v>
      </c>
      <c r="F48" s="21">
        <v>113747</v>
      </c>
      <c r="G48" s="17"/>
      <c r="H48" s="17"/>
      <c r="I48" s="17">
        <v>712</v>
      </c>
      <c r="J48" s="17">
        <v>999996</v>
      </c>
      <c r="K48" s="17"/>
      <c r="L48" s="17"/>
      <c r="M48" s="22">
        <v>486160203440011</v>
      </c>
      <c r="N48" s="22"/>
      <c r="O48" s="17"/>
      <c r="P48" s="17"/>
    </row>
    <row r="49" spans="1:16" ht="16.5" x14ac:dyDescent="0.25">
      <c r="A49" s="17"/>
      <c r="B49" s="18" t="s">
        <v>89</v>
      </c>
      <c r="C49" s="17"/>
      <c r="D49" s="19">
        <v>672</v>
      </c>
      <c r="E49" s="20">
        <v>41607</v>
      </c>
      <c r="F49" s="21">
        <v>243253</v>
      </c>
      <c r="G49" s="17"/>
      <c r="H49" s="17"/>
      <c r="I49" s="17">
        <v>712</v>
      </c>
      <c r="J49" s="17">
        <v>999996</v>
      </c>
      <c r="K49" s="17"/>
      <c r="L49" s="17"/>
      <c r="M49" s="22">
        <v>486160203440011</v>
      </c>
      <c r="N49" s="22"/>
      <c r="O49" s="17"/>
      <c r="P49" s="17"/>
    </row>
    <row r="50" spans="1:16" ht="16.5" x14ac:dyDescent="0.25">
      <c r="A50" s="17"/>
      <c r="B50" s="18" t="s">
        <v>90</v>
      </c>
      <c r="C50" s="17"/>
      <c r="D50" s="19">
        <v>674</v>
      </c>
      <c r="E50" s="20">
        <v>41607</v>
      </c>
      <c r="F50" s="21">
        <v>6600</v>
      </c>
      <c r="G50" s="17"/>
      <c r="H50" s="17"/>
      <c r="I50" s="17">
        <v>712</v>
      </c>
      <c r="J50" s="17">
        <v>999996</v>
      </c>
      <c r="K50" s="17"/>
      <c r="L50" s="17"/>
      <c r="M50" s="22">
        <v>486160203440011</v>
      </c>
      <c r="N50" s="22"/>
      <c r="O50" s="17"/>
      <c r="P50" s="17"/>
    </row>
    <row r="51" spans="1:16" ht="16.5" x14ac:dyDescent="0.25">
      <c r="A51" s="17"/>
      <c r="B51" s="18" t="s">
        <v>92</v>
      </c>
      <c r="C51" s="17"/>
      <c r="D51" s="19">
        <v>190</v>
      </c>
      <c r="E51" s="20">
        <v>41617</v>
      </c>
      <c r="F51" s="21">
        <v>49763</v>
      </c>
      <c r="G51" s="17"/>
      <c r="H51" s="17"/>
      <c r="I51" s="17">
        <v>712</v>
      </c>
      <c r="J51" s="17">
        <v>999996</v>
      </c>
      <c r="K51" s="17"/>
      <c r="L51" s="17"/>
      <c r="M51" s="22">
        <v>486160203440011</v>
      </c>
      <c r="N51" s="22"/>
      <c r="O51" s="17"/>
      <c r="P51" s="17"/>
    </row>
    <row r="52" spans="1:16" ht="16.5" x14ac:dyDescent="0.25">
      <c r="A52" s="17"/>
      <c r="B52" s="18" t="s">
        <v>94</v>
      </c>
      <c r="C52" s="17"/>
      <c r="D52" s="19">
        <v>432</v>
      </c>
      <c r="E52" s="20">
        <v>41627</v>
      </c>
      <c r="F52" s="21">
        <v>63578</v>
      </c>
      <c r="G52" s="17"/>
      <c r="H52" s="17"/>
      <c r="I52" s="17">
        <v>712</v>
      </c>
      <c r="J52" s="17">
        <v>999996</v>
      </c>
      <c r="K52" s="17"/>
      <c r="L52" s="17"/>
      <c r="M52" s="22">
        <v>486160203440011</v>
      </c>
      <c r="N52" s="22"/>
      <c r="O52" s="17"/>
      <c r="P52" s="17"/>
    </row>
    <row r="53" spans="1:16" ht="16.5" x14ac:dyDescent="0.25">
      <c r="A53" s="17"/>
      <c r="B53" s="18" t="s">
        <v>97</v>
      </c>
      <c r="C53" s="17"/>
      <c r="D53" s="19">
        <v>18</v>
      </c>
      <c r="E53" s="20">
        <v>41641</v>
      </c>
      <c r="F53" s="21">
        <v>300000</v>
      </c>
      <c r="G53" s="17"/>
      <c r="H53" s="17"/>
      <c r="I53" s="17">
        <v>712</v>
      </c>
      <c r="J53" s="17">
        <v>999996</v>
      </c>
      <c r="K53" s="17"/>
      <c r="L53" s="17"/>
      <c r="M53" s="22">
        <v>486160203440011</v>
      </c>
      <c r="N53" s="22"/>
      <c r="O53" s="17"/>
      <c r="P53" s="17"/>
    </row>
    <row r="54" spans="1:16" ht="33" x14ac:dyDescent="0.25">
      <c r="A54" s="17"/>
      <c r="B54" s="18" t="s">
        <v>80</v>
      </c>
      <c r="C54" s="17"/>
      <c r="D54" s="19">
        <v>29</v>
      </c>
      <c r="E54" s="20">
        <v>41579</v>
      </c>
      <c r="F54" s="21">
        <v>200000</v>
      </c>
      <c r="G54" s="17"/>
      <c r="H54" s="17"/>
      <c r="I54" s="17">
        <v>712</v>
      </c>
      <c r="J54" s="17">
        <v>999995</v>
      </c>
      <c r="K54" s="17"/>
      <c r="L54" s="17"/>
      <c r="M54" s="22">
        <v>486160203440013</v>
      </c>
      <c r="N54" s="22"/>
      <c r="O54" s="17"/>
      <c r="P54" s="17"/>
    </row>
    <row r="55" spans="1:16" ht="33" x14ac:dyDescent="0.25">
      <c r="A55" s="17"/>
      <c r="B55" s="18" t="s">
        <v>82</v>
      </c>
      <c r="C55" s="17"/>
      <c r="D55" s="19">
        <v>46</v>
      </c>
      <c r="E55" s="20">
        <v>41579</v>
      </c>
      <c r="F55" s="21">
        <v>173183</v>
      </c>
      <c r="G55" s="17"/>
      <c r="H55" s="17"/>
      <c r="I55" s="17">
        <v>712</v>
      </c>
      <c r="J55" s="17">
        <v>999995</v>
      </c>
      <c r="K55" s="17"/>
      <c r="L55" s="17"/>
      <c r="M55" s="22">
        <v>486160203440013</v>
      </c>
      <c r="N55" s="22"/>
      <c r="O55" s="17"/>
      <c r="P55" s="17"/>
    </row>
    <row r="56" spans="1:16" ht="16.5" x14ac:dyDescent="0.25">
      <c r="A56" s="17"/>
      <c r="B56" s="18" t="s">
        <v>83</v>
      </c>
      <c r="C56" s="17"/>
      <c r="D56" s="19">
        <v>66</v>
      </c>
      <c r="E56" s="20">
        <v>41582</v>
      </c>
      <c r="F56" s="21">
        <v>6103</v>
      </c>
      <c r="G56" s="17"/>
      <c r="H56" s="17"/>
      <c r="I56" s="17">
        <v>712</v>
      </c>
      <c r="J56" s="17">
        <v>999995</v>
      </c>
      <c r="K56" s="17"/>
      <c r="L56" s="17"/>
      <c r="M56" s="22">
        <v>486160203440013</v>
      </c>
      <c r="N56" s="22"/>
      <c r="O56" s="17"/>
      <c r="P56" s="17"/>
    </row>
    <row r="57" spans="1:16" ht="33" x14ac:dyDescent="0.25">
      <c r="A57" s="17"/>
      <c r="B57" s="18" t="s">
        <v>80</v>
      </c>
      <c r="C57" s="17"/>
      <c r="D57" s="19">
        <v>277</v>
      </c>
      <c r="E57" s="20">
        <v>41589</v>
      </c>
      <c r="F57" s="21">
        <v>67017</v>
      </c>
      <c r="G57" s="17"/>
      <c r="H57" s="17"/>
      <c r="I57" s="17">
        <v>712</v>
      </c>
      <c r="J57" s="17">
        <v>999995</v>
      </c>
      <c r="K57" s="17"/>
      <c r="L57" s="17"/>
      <c r="M57" s="22">
        <v>486160203440013</v>
      </c>
      <c r="N57" s="22"/>
      <c r="O57" s="17"/>
      <c r="P57" s="17"/>
    </row>
    <row r="58" spans="1:16" ht="16.5" x14ac:dyDescent="0.25">
      <c r="A58" s="17"/>
      <c r="B58" s="18" t="s">
        <v>85</v>
      </c>
      <c r="C58" s="17"/>
      <c r="D58" s="19">
        <v>430</v>
      </c>
      <c r="E58" s="20">
        <v>41596</v>
      </c>
      <c r="F58" s="21">
        <v>5232</v>
      </c>
      <c r="G58" s="17"/>
      <c r="H58" s="17"/>
      <c r="I58" s="17">
        <v>712</v>
      </c>
      <c r="J58" s="17">
        <v>999995</v>
      </c>
      <c r="K58" s="17"/>
      <c r="L58" s="17"/>
      <c r="M58" s="22">
        <v>486160203440013</v>
      </c>
      <c r="N58" s="22"/>
      <c r="O58" s="17"/>
      <c r="P58" s="17"/>
    </row>
    <row r="59" spans="1:16" ht="33" x14ac:dyDescent="0.25">
      <c r="A59" s="17"/>
      <c r="B59" s="18" t="s">
        <v>86</v>
      </c>
      <c r="C59" s="17"/>
      <c r="D59" s="19">
        <v>475</v>
      </c>
      <c r="E59" s="20">
        <v>41598</v>
      </c>
      <c r="F59" s="21">
        <v>45572</v>
      </c>
      <c r="G59" s="17"/>
      <c r="H59" s="17"/>
      <c r="I59" s="17">
        <v>712</v>
      </c>
      <c r="J59" s="17">
        <v>999995</v>
      </c>
      <c r="K59" s="17"/>
      <c r="L59" s="17"/>
      <c r="M59" s="22">
        <v>486160203440013</v>
      </c>
      <c r="N59" s="22"/>
      <c r="O59" s="17"/>
      <c r="P59" s="17"/>
    </row>
    <row r="60" spans="1:16" ht="16.5" x14ac:dyDescent="0.25">
      <c r="A60" s="17"/>
      <c r="B60" s="18" t="s">
        <v>93</v>
      </c>
      <c r="C60" s="17"/>
      <c r="D60" s="19">
        <v>401</v>
      </c>
      <c r="E60" s="20">
        <v>41625</v>
      </c>
      <c r="F60" s="21">
        <v>5750</v>
      </c>
      <c r="G60" s="17"/>
      <c r="H60" s="17"/>
      <c r="I60" s="17">
        <v>712</v>
      </c>
      <c r="J60" s="17">
        <v>999995</v>
      </c>
      <c r="K60" s="17"/>
      <c r="L60" s="17"/>
      <c r="M60" s="22">
        <v>486160203440013</v>
      </c>
      <c r="N60" s="22"/>
      <c r="O60" s="17"/>
      <c r="P60" s="17"/>
    </row>
    <row r="61" spans="1:16" ht="33" x14ac:dyDescent="0.25">
      <c r="A61" s="17"/>
      <c r="B61" s="18" t="s">
        <v>99</v>
      </c>
      <c r="C61" s="17"/>
      <c r="D61" s="19">
        <v>426</v>
      </c>
      <c r="E61" s="20">
        <v>41659</v>
      </c>
      <c r="F61" s="21">
        <v>2249</v>
      </c>
      <c r="G61" s="17"/>
      <c r="H61" s="17"/>
      <c r="I61" s="17">
        <v>712</v>
      </c>
      <c r="J61" s="17">
        <v>999995</v>
      </c>
      <c r="K61" s="17"/>
      <c r="L61" s="17"/>
      <c r="M61" s="22">
        <v>486160203440013</v>
      </c>
      <c r="N61" s="22"/>
      <c r="O61" s="17"/>
      <c r="P61" s="17"/>
    </row>
    <row r="62" spans="1:16" ht="33" x14ac:dyDescent="0.25">
      <c r="A62" s="17"/>
      <c r="B62" s="18" t="s">
        <v>116</v>
      </c>
      <c r="C62" s="17"/>
      <c r="D62" s="19">
        <v>498</v>
      </c>
      <c r="E62" s="20">
        <v>41716</v>
      </c>
      <c r="F62" s="21">
        <v>2179</v>
      </c>
      <c r="G62" s="17"/>
      <c r="H62" s="17"/>
      <c r="I62" s="17">
        <v>712</v>
      </c>
      <c r="J62" s="17">
        <v>999995</v>
      </c>
      <c r="K62" s="17"/>
      <c r="L62" s="17"/>
      <c r="M62" s="22">
        <v>486160203440013</v>
      </c>
      <c r="N62" s="22"/>
      <c r="O62" s="17"/>
      <c r="P62" s="17"/>
    </row>
    <row r="63" spans="1:16" ht="16.5" x14ac:dyDescent="0.25">
      <c r="A63" s="17"/>
      <c r="B63" s="18" t="s">
        <v>84</v>
      </c>
      <c r="C63" s="17"/>
      <c r="D63" s="19">
        <v>209</v>
      </c>
      <c r="E63" s="20">
        <v>41586</v>
      </c>
      <c r="F63" s="21">
        <v>755200</v>
      </c>
      <c r="G63" s="17"/>
      <c r="H63" s="17"/>
      <c r="I63" s="17">
        <v>712</v>
      </c>
      <c r="J63" s="17">
        <v>999994</v>
      </c>
      <c r="K63" s="17"/>
      <c r="L63" s="17"/>
      <c r="M63" s="22">
        <v>486160203440028</v>
      </c>
      <c r="N63" s="22"/>
      <c r="O63" s="17"/>
      <c r="P63" s="17"/>
    </row>
    <row r="64" spans="1:16" ht="33" x14ac:dyDescent="0.25">
      <c r="A64" s="17"/>
      <c r="B64" s="18" t="s">
        <v>73</v>
      </c>
      <c r="C64" s="17"/>
      <c r="D64" s="19">
        <v>655</v>
      </c>
      <c r="E64" s="20">
        <v>41516</v>
      </c>
      <c r="F64" s="21">
        <v>3308</v>
      </c>
      <c r="G64" s="17"/>
      <c r="H64" s="17"/>
      <c r="I64" s="17">
        <v>712</v>
      </c>
      <c r="J64" s="17">
        <v>999990</v>
      </c>
      <c r="K64" s="17"/>
      <c r="L64" s="17"/>
      <c r="M64" s="22">
        <v>486160203440053</v>
      </c>
      <c r="N64" s="22"/>
      <c r="O64" s="17"/>
      <c r="P64" s="17"/>
    </row>
    <row r="65" spans="1:16" ht="16.5" x14ac:dyDescent="0.25">
      <c r="A65" s="17"/>
      <c r="B65" s="18" t="s">
        <v>87</v>
      </c>
      <c r="C65" s="17"/>
      <c r="D65" s="19">
        <v>511</v>
      </c>
      <c r="E65" s="20">
        <v>41599</v>
      </c>
      <c r="F65" s="21">
        <v>10671</v>
      </c>
      <c r="G65" s="17"/>
      <c r="H65" s="17"/>
      <c r="I65" s="17">
        <v>712</v>
      </c>
      <c r="J65" s="17">
        <v>999990</v>
      </c>
      <c r="K65" s="17"/>
      <c r="L65" s="17"/>
      <c r="M65" s="22">
        <v>486160203440053</v>
      </c>
      <c r="N65" s="22"/>
      <c r="O65" s="17"/>
      <c r="P65" s="17"/>
    </row>
    <row r="66" spans="1:16" ht="82.5" x14ac:dyDescent="0.25">
      <c r="A66" s="17"/>
      <c r="B66" s="18" t="s">
        <v>96</v>
      </c>
      <c r="C66" s="17"/>
      <c r="D66" s="19">
        <v>2174</v>
      </c>
      <c r="E66" s="20">
        <v>41639</v>
      </c>
      <c r="F66" s="21">
        <v>998029</v>
      </c>
      <c r="G66" s="17"/>
      <c r="H66" s="17"/>
      <c r="I66" s="17">
        <v>712</v>
      </c>
      <c r="J66" s="17">
        <v>999990</v>
      </c>
      <c r="K66" s="17"/>
      <c r="L66" s="17"/>
      <c r="M66" s="22">
        <v>486160203440053</v>
      </c>
      <c r="N66" s="22"/>
      <c r="O66" s="17"/>
      <c r="P66" s="17"/>
    </row>
    <row r="67" spans="1:16" ht="16.5" x14ac:dyDescent="0.25">
      <c r="A67" s="17"/>
      <c r="B67" s="18" t="s">
        <v>101</v>
      </c>
      <c r="C67" s="17"/>
      <c r="D67" s="19">
        <v>755</v>
      </c>
      <c r="E67" s="20">
        <v>41669</v>
      </c>
      <c r="F67" s="21">
        <v>84749</v>
      </c>
      <c r="G67" s="17"/>
      <c r="H67" s="17"/>
      <c r="I67" s="17">
        <v>712</v>
      </c>
      <c r="J67" s="17">
        <v>999990</v>
      </c>
      <c r="K67" s="17"/>
      <c r="L67" s="17"/>
      <c r="M67" s="22">
        <v>486160203440053</v>
      </c>
      <c r="N67" s="22"/>
      <c r="O67" s="17"/>
      <c r="P67" s="17"/>
    </row>
    <row r="68" spans="1:16" ht="16.5" x14ac:dyDescent="0.25">
      <c r="A68" s="17"/>
      <c r="B68" s="18" t="s">
        <v>101</v>
      </c>
      <c r="C68" s="17"/>
      <c r="D68" s="19">
        <v>755</v>
      </c>
      <c r="E68" s="20">
        <v>41669</v>
      </c>
      <c r="F68" s="21">
        <v>9698</v>
      </c>
      <c r="G68" s="17"/>
      <c r="H68" s="17"/>
      <c r="I68" s="17">
        <v>712</v>
      </c>
      <c r="J68" s="17">
        <v>999990</v>
      </c>
      <c r="K68" s="17"/>
      <c r="L68" s="17"/>
      <c r="M68" s="22">
        <v>486160203440053</v>
      </c>
      <c r="N68" s="22"/>
      <c r="O68" s="17"/>
      <c r="P68" s="17"/>
    </row>
    <row r="69" spans="1:16" ht="16.5" x14ac:dyDescent="0.25">
      <c r="A69" s="17"/>
      <c r="B69" s="18" t="s">
        <v>101</v>
      </c>
      <c r="C69" s="17"/>
      <c r="D69" s="19">
        <v>755</v>
      </c>
      <c r="E69" s="20">
        <v>41669</v>
      </c>
      <c r="F69" s="21">
        <v>61992</v>
      </c>
      <c r="G69" s="17"/>
      <c r="H69" s="17"/>
      <c r="I69" s="17">
        <v>712</v>
      </c>
      <c r="J69" s="17">
        <v>999990</v>
      </c>
      <c r="K69" s="17"/>
      <c r="L69" s="17"/>
      <c r="M69" s="22">
        <v>486160203440053</v>
      </c>
      <c r="N69" s="22"/>
      <c r="O69" s="17"/>
      <c r="P69" s="17"/>
    </row>
    <row r="70" spans="1:16" ht="16.5" x14ac:dyDescent="0.25">
      <c r="A70" s="17"/>
      <c r="B70" s="18" t="s">
        <v>101</v>
      </c>
      <c r="C70" s="17"/>
      <c r="D70" s="19">
        <v>755</v>
      </c>
      <c r="E70" s="20">
        <v>41669</v>
      </c>
      <c r="F70" s="21">
        <v>8703</v>
      </c>
      <c r="G70" s="17"/>
      <c r="H70" s="17"/>
      <c r="I70" s="17">
        <v>712</v>
      </c>
      <c r="J70" s="17">
        <v>999990</v>
      </c>
      <c r="K70" s="17"/>
      <c r="L70" s="17"/>
      <c r="M70" s="22">
        <v>486160203440053</v>
      </c>
      <c r="N70" s="22"/>
      <c r="O70" s="17"/>
      <c r="P70" s="17"/>
    </row>
    <row r="71" spans="1:16" ht="16.5" x14ac:dyDescent="0.25">
      <c r="A71" s="17"/>
      <c r="B71" s="18" t="s">
        <v>101</v>
      </c>
      <c r="C71" s="17"/>
      <c r="D71" s="19">
        <v>755</v>
      </c>
      <c r="E71" s="20">
        <v>41669</v>
      </c>
      <c r="F71" s="21">
        <v>47156</v>
      </c>
      <c r="G71" s="17"/>
      <c r="H71" s="17"/>
      <c r="I71" s="17">
        <v>712</v>
      </c>
      <c r="J71" s="17">
        <v>999990</v>
      </c>
      <c r="K71" s="17"/>
      <c r="L71" s="17"/>
      <c r="M71" s="22">
        <v>486160203440053</v>
      </c>
      <c r="N71" s="22"/>
      <c r="O71" s="17"/>
      <c r="P71" s="17"/>
    </row>
    <row r="72" spans="1:16" ht="33" x14ac:dyDescent="0.25">
      <c r="A72" s="17"/>
      <c r="B72" s="18" t="s">
        <v>105</v>
      </c>
      <c r="C72" s="17"/>
      <c r="D72" s="19">
        <v>266</v>
      </c>
      <c r="E72" s="20">
        <v>41680</v>
      </c>
      <c r="F72" s="21">
        <v>8700</v>
      </c>
      <c r="G72" s="17"/>
      <c r="H72" s="17"/>
      <c r="I72" s="17">
        <v>712</v>
      </c>
      <c r="J72" s="17">
        <v>999990</v>
      </c>
      <c r="K72" s="17"/>
      <c r="L72" s="17"/>
      <c r="M72" s="22">
        <v>486160203440053</v>
      </c>
      <c r="N72" s="22"/>
      <c r="O72" s="17"/>
      <c r="P72" s="17"/>
    </row>
    <row r="73" spans="1:16" ht="16.5" x14ac:dyDescent="0.25">
      <c r="A73" s="17"/>
      <c r="B73" s="18" t="s">
        <v>106</v>
      </c>
      <c r="C73" s="17"/>
      <c r="D73" s="19">
        <v>336</v>
      </c>
      <c r="E73" s="20">
        <v>41684</v>
      </c>
      <c r="F73" s="21">
        <v>17283</v>
      </c>
      <c r="G73" s="17"/>
      <c r="H73" s="17"/>
      <c r="I73" s="17">
        <v>712</v>
      </c>
      <c r="J73" s="17">
        <v>999990</v>
      </c>
      <c r="K73" s="17"/>
      <c r="L73" s="17"/>
      <c r="M73" s="22">
        <v>486160203440053</v>
      </c>
      <c r="N73" s="22"/>
      <c r="O73" s="17"/>
      <c r="P73" s="17"/>
    </row>
    <row r="74" spans="1:16" ht="33" x14ac:dyDescent="0.25">
      <c r="A74" s="17"/>
      <c r="B74" s="18" t="s">
        <v>107</v>
      </c>
      <c r="C74" s="17"/>
      <c r="D74" s="19">
        <v>339</v>
      </c>
      <c r="E74" s="20">
        <v>41684</v>
      </c>
      <c r="F74" s="21">
        <v>49360</v>
      </c>
      <c r="G74" s="17"/>
      <c r="H74" s="17"/>
      <c r="I74" s="17">
        <v>712</v>
      </c>
      <c r="J74" s="17">
        <v>999990</v>
      </c>
      <c r="K74" s="17"/>
      <c r="L74" s="17"/>
      <c r="M74" s="22">
        <v>486160203440053</v>
      </c>
      <c r="N74" s="22"/>
      <c r="O74" s="17"/>
      <c r="P74" s="17"/>
    </row>
    <row r="75" spans="1:16" ht="16.5" x14ac:dyDescent="0.25">
      <c r="A75" s="17"/>
      <c r="B75" s="18" t="s">
        <v>101</v>
      </c>
      <c r="C75" s="17"/>
      <c r="D75" s="19">
        <v>575</v>
      </c>
      <c r="E75" s="20">
        <v>41695</v>
      </c>
      <c r="F75" s="21">
        <v>11616</v>
      </c>
      <c r="G75" s="17"/>
      <c r="H75" s="17"/>
      <c r="I75" s="17">
        <v>712</v>
      </c>
      <c r="J75" s="17">
        <v>999990</v>
      </c>
      <c r="K75" s="17"/>
      <c r="L75" s="17"/>
      <c r="M75" s="22">
        <v>486160203440053</v>
      </c>
      <c r="N75" s="22"/>
      <c r="O75" s="17"/>
      <c r="P75" s="17"/>
    </row>
    <row r="76" spans="1:16" ht="16.5" x14ac:dyDescent="0.25">
      <c r="A76" s="17"/>
      <c r="B76" s="18" t="s">
        <v>101</v>
      </c>
      <c r="C76" s="17"/>
      <c r="D76" s="19">
        <v>575</v>
      </c>
      <c r="E76" s="20">
        <v>41695</v>
      </c>
      <c r="F76" s="21">
        <v>14902</v>
      </c>
      <c r="G76" s="17"/>
      <c r="H76" s="17"/>
      <c r="I76" s="17">
        <v>712</v>
      </c>
      <c r="J76" s="17">
        <v>999990</v>
      </c>
      <c r="K76" s="17"/>
      <c r="L76" s="17"/>
      <c r="M76" s="22">
        <v>486160203440053</v>
      </c>
      <c r="N76" s="22"/>
      <c r="O76" s="17"/>
      <c r="P76" s="17"/>
    </row>
    <row r="77" spans="1:16" ht="16.5" x14ac:dyDescent="0.25">
      <c r="A77" s="17"/>
      <c r="B77" s="18" t="s">
        <v>101</v>
      </c>
      <c r="C77" s="17"/>
      <c r="D77" s="19">
        <v>575</v>
      </c>
      <c r="E77" s="20">
        <v>41695</v>
      </c>
      <c r="F77" s="21">
        <v>104085</v>
      </c>
      <c r="G77" s="17"/>
      <c r="H77" s="17"/>
      <c r="I77" s="17">
        <v>712</v>
      </c>
      <c r="J77" s="17">
        <v>999990</v>
      </c>
      <c r="K77" s="17"/>
      <c r="L77" s="17"/>
      <c r="M77" s="22">
        <v>486160203440053</v>
      </c>
      <c r="N77" s="22"/>
      <c r="O77" s="17"/>
      <c r="P77" s="17"/>
    </row>
    <row r="78" spans="1:16" ht="33" x14ac:dyDescent="0.25">
      <c r="A78" s="17"/>
      <c r="B78" s="18" t="s">
        <v>120</v>
      </c>
      <c r="C78" s="17"/>
      <c r="D78" s="19">
        <v>690</v>
      </c>
      <c r="E78" s="20">
        <v>41723</v>
      </c>
      <c r="F78" s="21">
        <v>54075</v>
      </c>
      <c r="G78" s="17"/>
      <c r="H78" s="17"/>
      <c r="I78" s="17">
        <v>712</v>
      </c>
      <c r="J78" s="17">
        <v>999990</v>
      </c>
      <c r="K78" s="17"/>
      <c r="L78" s="17"/>
      <c r="M78" s="22">
        <v>486160203440053</v>
      </c>
      <c r="N78" s="22"/>
      <c r="O78" s="17"/>
      <c r="P78" s="17"/>
    </row>
    <row r="79" spans="1:16" ht="16.5" x14ac:dyDescent="0.25">
      <c r="A79" s="17"/>
      <c r="B79" s="18" t="s">
        <v>101</v>
      </c>
      <c r="C79" s="17"/>
      <c r="D79" s="19">
        <v>755</v>
      </c>
      <c r="E79" s="20">
        <v>41724</v>
      </c>
      <c r="F79" s="21">
        <v>6071</v>
      </c>
      <c r="G79" s="17"/>
      <c r="H79" s="17"/>
      <c r="I79" s="17">
        <v>712</v>
      </c>
      <c r="J79" s="17">
        <v>999990</v>
      </c>
      <c r="K79" s="17"/>
      <c r="L79" s="17"/>
      <c r="M79" s="22">
        <v>486160203440053</v>
      </c>
      <c r="N79" s="22"/>
      <c r="O79" s="17"/>
      <c r="P79" s="17"/>
    </row>
    <row r="80" spans="1:16" ht="16.5" x14ac:dyDescent="0.25">
      <c r="A80" s="17"/>
      <c r="B80" s="18" t="s">
        <v>101</v>
      </c>
      <c r="C80" s="17"/>
      <c r="D80" s="19">
        <v>755</v>
      </c>
      <c r="E80" s="20">
        <v>41724</v>
      </c>
      <c r="F80" s="21">
        <v>8416</v>
      </c>
      <c r="G80" s="17"/>
      <c r="H80" s="17"/>
      <c r="I80" s="17">
        <v>712</v>
      </c>
      <c r="J80" s="17">
        <v>999990</v>
      </c>
      <c r="K80" s="17"/>
      <c r="L80" s="17"/>
      <c r="M80" s="22">
        <v>486160203440053</v>
      </c>
      <c r="N80" s="22"/>
      <c r="O80" s="17"/>
      <c r="P80" s="17"/>
    </row>
    <row r="81" spans="1:16" ht="16.5" x14ac:dyDescent="0.25">
      <c r="A81" s="17"/>
      <c r="B81" s="18" t="s">
        <v>101</v>
      </c>
      <c r="C81" s="17"/>
      <c r="D81" s="19">
        <v>755</v>
      </c>
      <c r="E81" s="20">
        <v>41724</v>
      </c>
      <c r="F81" s="21">
        <v>10066</v>
      </c>
      <c r="G81" s="17"/>
      <c r="H81" s="17"/>
      <c r="I81" s="17">
        <v>712</v>
      </c>
      <c r="J81" s="17">
        <v>999990</v>
      </c>
      <c r="K81" s="17"/>
      <c r="L81" s="17"/>
      <c r="M81" s="22">
        <v>486160203440053</v>
      </c>
      <c r="N81" s="22"/>
      <c r="O81" s="17"/>
      <c r="P81" s="17"/>
    </row>
    <row r="82" spans="1:16" ht="16.5" x14ac:dyDescent="0.25">
      <c r="A82" s="17"/>
      <c r="B82" s="18" t="s">
        <v>101</v>
      </c>
      <c r="C82" s="17"/>
      <c r="D82" s="19">
        <v>755</v>
      </c>
      <c r="E82" s="20">
        <v>41724</v>
      </c>
      <c r="F82" s="21">
        <v>19845</v>
      </c>
      <c r="G82" s="17"/>
      <c r="H82" s="17"/>
      <c r="I82" s="17">
        <v>712</v>
      </c>
      <c r="J82" s="17">
        <v>999990</v>
      </c>
      <c r="K82" s="17"/>
      <c r="L82" s="17"/>
      <c r="M82" s="22">
        <v>486160203440053</v>
      </c>
      <c r="N82" s="22"/>
      <c r="O82" s="17"/>
      <c r="P82" s="17"/>
    </row>
    <row r="83" spans="1:16" ht="16.5" x14ac:dyDescent="0.25">
      <c r="A83" s="17"/>
      <c r="B83" s="18" t="s">
        <v>101</v>
      </c>
      <c r="C83" s="17"/>
      <c r="D83" s="19">
        <v>755</v>
      </c>
      <c r="E83" s="20">
        <v>41724</v>
      </c>
      <c r="F83" s="21">
        <v>24968</v>
      </c>
      <c r="G83" s="17"/>
      <c r="H83" s="17"/>
      <c r="I83" s="17">
        <v>712</v>
      </c>
      <c r="J83" s="17">
        <v>999990</v>
      </c>
      <c r="K83" s="17"/>
      <c r="L83" s="17"/>
      <c r="M83" s="22">
        <v>486160203440053</v>
      </c>
      <c r="N83" s="22"/>
      <c r="O83" s="17"/>
      <c r="P83" s="17"/>
    </row>
    <row r="84" spans="1:16" ht="16.5" x14ac:dyDescent="0.25">
      <c r="A84" s="17"/>
      <c r="B84" s="18" t="s">
        <v>101</v>
      </c>
      <c r="C84" s="17"/>
      <c r="D84" s="19">
        <v>755</v>
      </c>
      <c r="E84" s="20">
        <v>41724</v>
      </c>
      <c r="F84" s="21">
        <v>195130</v>
      </c>
      <c r="G84" s="17"/>
      <c r="H84" s="17"/>
      <c r="I84" s="17">
        <v>712</v>
      </c>
      <c r="J84" s="17">
        <v>999990</v>
      </c>
      <c r="K84" s="17"/>
      <c r="L84" s="17"/>
      <c r="M84" s="22">
        <v>486160203440053</v>
      </c>
      <c r="N84" s="22"/>
      <c r="O84" s="17"/>
      <c r="P84" s="17"/>
    </row>
    <row r="85" spans="1:16" ht="33" x14ac:dyDescent="0.25">
      <c r="A85" s="17"/>
      <c r="B85" s="18" t="s">
        <v>123</v>
      </c>
      <c r="C85" s="17"/>
      <c r="D85" s="19">
        <v>824</v>
      </c>
      <c r="E85" s="20">
        <v>41726</v>
      </c>
      <c r="F85" s="21">
        <v>60008</v>
      </c>
      <c r="G85" s="17"/>
      <c r="H85" s="17"/>
      <c r="I85" s="17">
        <v>712</v>
      </c>
      <c r="J85" s="17">
        <v>999990</v>
      </c>
      <c r="K85" s="17"/>
      <c r="L85" s="17"/>
      <c r="M85" s="22">
        <v>486160203440053</v>
      </c>
      <c r="N85" s="22"/>
      <c r="O85" s="17"/>
      <c r="P85" s="17"/>
    </row>
    <row r="86" spans="1:16" ht="16.5" x14ac:dyDescent="0.25">
      <c r="A86" s="27"/>
      <c r="B86" s="26" t="s">
        <v>84</v>
      </c>
      <c r="C86" s="27"/>
      <c r="D86" s="28">
        <v>209</v>
      </c>
      <c r="E86" s="29">
        <v>41586</v>
      </c>
      <c r="F86" s="30">
        <v>1000000</v>
      </c>
      <c r="G86" s="24"/>
      <c r="H86" s="24"/>
      <c r="I86" s="24">
        <v>712</v>
      </c>
      <c r="J86" s="17">
        <v>999990</v>
      </c>
      <c r="K86" s="24"/>
      <c r="L86" s="24"/>
      <c r="M86" s="25">
        <v>486160203440060</v>
      </c>
      <c r="N86" s="25"/>
      <c r="O86" s="24"/>
      <c r="P86" s="24"/>
    </row>
    <row r="87" spans="1:16" ht="20.100000000000001" customHeight="1" x14ac:dyDescent="0.25">
      <c r="A87" s="32"/>
      <c r="B87" s="49" t="s">
        <v>124</v>
      </c>
      <c r="C87" s="50"/>
      <c r="D87" s="50"/>
      <c r="E87" s="51"/>
      <c r="F87" s="9">
        <f>SUM(F37:F86)</f>
        <v>15949169</v>
      </c>
    </row>
    <row r="88" spans="1:16" ht="20.100000000000001" customHeight="1" x14ac:dyDescent="0.25">
      <c r="A88" s="32"/>
      <c r="B88" s="49" t="s">
        <v>125</v>
      </c>
      <c r="C88" s="50"/>
      <c r="D88" s="50"/>
      <c r="E88" s="51"/>
      <c r="F88" s="9">
        <f>F87+F35+MRPU!F39</f>
        <v>85059219</v>
      </c>
    </row>
  </sheetData>
  <mergeCells count="5">
    <mergeCell ref="A1:P1"/>
    <mergeCell ref="B87:E87"/>
    <mergeCell ref="B35:E35"/>
    <mergeCell ref="B36:P36"/>
    <mergeCell ref="B88:E8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22" workbookViewId="0">
      <selection activeCell="E3" sqref="E3:E39"/>
    </sheetView>
  </sheetViews>
  <sheetFormatPr defaultRowHeight="15" x14ac:dyDescent="0.25"/>
  <cols>
    <col min="1" max="1" width="72.140625" bestFit="1" customWidth="1"/>
    <col min="2" max="2" width="6.42578125" bestFit="1" customWidth="1"/>
    <col min="3" max="3" width="6" bestFit="1" customWidth="1"/>
    <col min="4" max="4" width="7" bestFit="1" customWidth="1"/>
  </cols>
  <sheetData>
    <row r="1" spans="1:5" x14ac:dyDescent="0.25">
      <c r="A1" t="s">
        <v>129</v>
      </c>
    </row>
    <row r="2" spans="1:5" x14ac:dyDescent="0.25">
      <c r="A2" t="s">
        <v>130</v>
      </c>
      <c r="B2" t="s">
        <v>131</v>
      </c>
    </row>
    <row r="3" spans="1:5" x14ac:dyDescent="0.25">
      <c r="A3" t="s">
        <v>132</v>
      </c>
      <c r="B3" t="s">
        <v>133</v>
      </c>
      <c r="C3">
        <v>3645</v>
      </c>
      <c r="D3">
        <v>101501</v>
      </c>
      <c r="E3">
        <f>D3-100000</f>
        <v>1501</v>
      </c>
    </row>
    <row r="4" spans="1:5" x14ac:dyDescent="0.25">
      <c r="A4" t="s">
        <v>132</v>
      </c>
      <c r="B4" t="s">
        <v>133</v>
      </c>
      <c r="C4">
        <v>3645</v>
      </c>
      <c r="D4">
        <v>101501</v>
      </c>
      <c r="E4">
        <f t="shared" ref="E4:E34" si="0">D4-100000</f>
        <v>1501</v>
      </c>
    </row>
    <row r="5" spans="1:5" x14ac:dyDescent="0.25">
      <c r="A5" t="s">
        <v>132</v>
      </c>
      <c r="B5" t="s">
        <v>133</v>
      </c>
      <c r="C5">
        <v>3645</v>
      </c>
      <c r="D5">
        <v>101501</v>
      </c>
      <c r="E5">
        <f t="shared" si="0"/>
        <v>1501</v>
      </c>
    </row>
    <row r="6" spans="1:5" x14ac:dyDescent="0.25">
      <c r="A6" t="s">
        <v>132</v>
      </c>
      <c r="B6" t="s">
        <v>134</v>
      </c>
      <c r="C6">
        <v>5773</v>
      </c>
      <c r="D6">
        <v>104044</v>
      </c>
      <c r="E6">
        <f t="shared" si="0"/>
        <v>4044</v>
      </c>
    </row>
    <row r="7" spans="1:5" x14ac:dyDescent="0.25">
      <c r="B7">
        <v>0</v>
      </c>
      <c r="E7">
        <v>0</v>
      </c>
    </row>
    <row r="8" spans="1:5" x14ac:dyDescent="0.25">
      <c r="A8" t="s">
        <v>132</v>
      </c>
      <c r="B8" t="s">
        <v>135</v>
      </c>
      <c r="C8">
        <v>1397</v>
      </c>
      <c r="D8">
        <v>107070</v>
      </c>
      <c r="E8">
        <f t="shared" si="0"/>
        <v>7070</v>
      </c>
    </row>
    <row r="9" spans="1:5" x14ac:dyDescent="0.25">
      <c r="A9" t="s">
        <v>132</v>
      </c>
      <c r="B9" t="s">
        <v>135</v>
      </c>
      <c r="C9">
        <v>1397</v>
      </c>
      <c r="D9">
        <v>107070</v>
      </c>
      <c r="E9">
        <f t="shared" si="0"/>
        <v>7070</v>
      </c>
    </row>
    <row r="10" spans="1:5" x14ac:dyDescent="0.25">
      <c r="A10" t="s">
        <v>132</v>
      </c>
      <c r="B10" t="s">
        <v>135</v>
      </c>
      <c r="C10">
        <v>1397</v>
      </c>
      <c r="D10">
        <v>107070</v>
      </c>
      <c r="E10">
        <f t="shared" si="0"/>
        <v>7070</v>
      </c>
    </row>
    <row r="11" spans="1:5" x14ac:dyDescent="0.25">
      <c r="A11" t="s">
        <v>132</v>
      </c>
      <c r="B11" t="s">
        <v>135</v>
      </c>
      <c r="C11">
        <v>1397</v>
      </c>
      <c r="D11">
        <v>107070</v>
      </c>
      <c r="E11">
        <f t="shared" si="0"/>
        <v>7070</v>
      </c>
    </row>
    <row r="12" spans="1:5" x14ac:dyDescent="0.25">
      <c r="A12" t="s">
        <v>132</v>
      </c>
      <c r="B12" t="s">
        <v>135</v>
      </c>
      <c r="C12">
        <v>1397</v>
      </c>
      <c r="D12">
        <v>107070</v>
      </c>
      <c r="E12">
        <f t="shared" si="0"/>
        <v>7070</v>
      </c>
    </row>
    <row r="13" spans="1:5" x14ac:dyDescent="0.25">
      <c r="A13" t="s">
        <v>132</v>
      </c>
      <c r="B13" t="s">
        <v>134</v>
      </c>
      <c r="C13">
        <v>5500</v>
      </c>
      <c r="D13">
        <v>101921</v>
      </c>
      <c r="E13">
        <f t="shared" si="0"/>
        <v>1921</v>
      </c>
    </row>
    <row r="14" spans="1:5" x14ac:dyDescent="0.25">
      <c r="B14">
        <v>0</v>
      </c>
      <c r="E14">
        <v>1</v>
      </c>
    </row>
    <row r="15" spans="1:5" x14ac:dyDescent="0.25">
      <c r="A15" t="s">
        <v>132</v>
      </c>
      <c r="B15" t="s">
        <v>135</v>
      </c>
      <c r="C15">
        <v>1397</v>
      </c>
      <c r="D15">
        <v>107070</v>
      </c>
      <c r="E15">
        <f t="shared" si="0"/>
        <v>7070</v>
      </c>
    </row>
    <row r="16" spans="1:5" x14ac:dyDescent="0.25">
      <c r="A16" t="s">
        <v>132</v>
      </c>
      <c r="B16" t="s">
        <v>136</v>
      </c>
      <c r="C16">
        <v>1984</v>
      </c>
      <c r="D16">
        <v>109505</v>
      </c>
      <c r="E16">
        <f t="shared" si="0"/>
        <v>9505</v>
      </c>
    </row>
    <row r="17" spans="1:5" x14ac:dyDescent="0.25">
      <c r="A17" t="s">
        <v>132</v>
      </c>
      <c r="B17" t="s">
        <v>137</v>
      </c>
      <c r="C17">
        <v>11120</v>
      </c>
      <c r="D17">
        <v>110154</v>
      </c>
      <c r="E17">
        <f t="shared" si="0"/>
        <v>10154</v>
      </c>
    </row>
    <row r="18" spans="1:5" x14ac:dyDescent="0.25">
      <c r="A18" t="s">
        <v>132</v>
      </c>
      <c r="B18" t="s">
        <v>138</v>
      </c>
      <c r="C18">
        <v>6764</v>
      </c>
      <c r="D18">
        <v>109499</v>
      </c>
      <c r="E18">
        <f t="shared" si="0"/>
        <v>9499</v>
      </c>
    </row>
    <row r="19" spans="1:5" x14ac:dyDescent="0.25">
      <c r="A19" t="s">
        <v>132</v>
      </c>
      <c r="B19" t="s">
        <v>139</v>
      </c>
      <c r="C19">
        <v>6179</v>
      </c>
      <c r="D19">
        <v>109597</v>
      </c>
      <c r="E19">
        <f t="shared" si="0"/>
        <v>9597</v>
      </c>
    </row>
    <row r="20" spans="1:5" x14ac:dyDescent="0.25">
      <c r="A20" t="s">
        <v>132</v>
      </c>
      <c r="B20" t="s">
        <v>139</v>
      </c>
      <c r="C20">
        <v>6179</v>
      </c>
      <c r="D20">
        <v>109597</v>
      </c>
      <c r="E20">
        <f t="shared" si="0"/>
        <v>9597</v>
      </c>
    </row>
    <row r="21" spans="1:5" x14ac:dyDescent="0.25">
      <c r="A21" t="s">
        <v>132</v>
      </c>
      <c r="B21" t="s">
        <v>134</v>
      </c>
      <c r="C21">
        <v>7328</v>
      </c>
      <c r="D21">
        <v>109602</v>
      </c>
      <c r="E21">
        <f t="shared" si="0"/>
        <v>9602</v>
      </c>
    </row>
    <row r="22" spans="1:5" x14ac:dyDescent="0.25">
      <c r="B22">
        <v>0</v>
      </c>
      <c r="E22">
        <v>2</v>
      </c>
    </row>
    <row r="23" spans="1:5" x14ac:dyDescent="0.25">
      <c r="B23">
        <v>0</v>
      </c>
      <c r="E23">
        <v>3</v>
      </c>
    </row>
    <row r="24" spans="1:5" x14ac:dyDescent="0.25">
      <c r="A24" t="s">
        <v>132</v>
      </c>
      <c r="B24" t="s">
        <v>140</v>
      </c>
      <c r="C24">
        <v>5358</v>
      </c>
      <c r="D24">
        <v>109144</v>
      </c>
      <c r="E24">
        <f t="shared" si="0"/>
        <v>9144</v>
      </c>
    </row>
    <row r="25" spans="1:5" x14ac:dyDescent="0.25">
      <c r="A25" t="s">
        <v>132</v>
      </c>
      <c r="B25" t="s">
        <v>141</v>
      </c>
      <c r="C25">
        <v>2679</v>
      </c>
      <c r="D25">
        <v>109620</v>
      </c>
      <c r="E25">
        <f t="shared" si="0"/>
        <v>9620</v>
      </c>
    </row>
    <row r="26" spans="1:5" x14ac:dyDescent="0.25">
      <c r="A26" t="s">
        <v>132</v>
      </c>
      <c r="B26" t="s">
        <v>133</v>
      </c>
      <c r="C26">
        <v>3889</v>
      </c>
      <c r="D26">
        <v>106404</v>
      </c>
      <c r="E26">
        <f t="shared" si="0"/>
        <v>6404</v>
      </c>
    </row>
    <row r="27" spans="1:5" x14ac:dyDescent="0.25">
      <c r="A27" t="s">
        <v>132</v>
      </c>
      <c r="B27" t="s">
        <v>134</v>
      </c>
      <c r="C27">
        <v>7328</v>
      </c>
      <c r="D27">
        <v>109602</v>
      </c>
      <c r="E27">
        <f t="shared" si="0"/>
        <v>9602</v>
      </c>
    </row>
    <row r="28" spans="1:5" x14ac:dyDescent="0.25">
      <c r="B28">
        <v>0</v>
      </c>
      <c r="E28">
        <v>4</v>
      </c>
    </row>
    <row r="29" spans="1:5" x14ac:dyDescent="0.25">
      <c r="A29" t="s">
        <v>132</v>
      </c>
      <c r="B29" t="s">
        <v>138</v>
      </c>
      <c r="C29">
        <v>6749</v>
      </c>
      <c r="D29">
        <v>109846</v>
      </c>
      <c r="E29">
        <f t="shared" si="0"/>
        <v>9846</v>
      </c>
    </row>
    <row r="30" spans="1:5" x14ac:dyDescent="0.25">
      <c r="A30" t="s">
        <v>132</v>
      </c>
      <c r="B30" t="s">
        <v>138</v>
      </c>
      <c r="C30">
        <v>6749</v>
      </c>
      <c r="D30">
        <v>109844</v>
      </c>
      <c r="E30">
        <f t="shared" si="0"/>
        <v>9844</v>
      </c>
    </row>
    <row r="31" spans="1:5" x14ac:dyDescent="0.25">
      <c r="A31" t="s">
        <v>132</v>
      </c>
      <c r="B31" t="s">
        <v>137</v>
      </c>
      <c r="C31">
        <v>10939</v>
      </c>
      <c r="D31">
        <v>110026</v>
      </c>
      <c r="E31">
        <f t="shared" si="0"/>
        <v>10026</v>
      </c>
    </row>
    <row r="32" spans="1:5" x14ac:dyDescent="0.25">
      <c r="A32" t="s">
        <v>132</v>
      </c>
      <c r="B32" t="s">
        <v>140</v>
      </c>
      <c r="C32">
        <v>5361</v>
      </c>
      <c r="D32">
        <v>109554</v>
      </c>
      <c r="E32">
        <f t="shared" si="0"/>
        <v>9554</v>
      </c>
    </row>
    <row r="33" spans="1:5" x14ac:dyDescent="0.25">
      <c r="A33" t="s">
        <v>132</v>
      </c>
      <c r="B33" t="s">
        <v>141</v>
      </c>
      <c r="C33">
        <v>2679</v>
      </c>
      <c r="D33">
        <v>109620</v>
      </c>
      <c r="E33">
        <f t="shared" si="0"/>
        <v>9620</v>
      </c>
    </row>
    <row r="34" spans="1:5" x14ac:dyDescent="0.25">
      <c r="A34" t="s">
        <v>132</v>
      </c>
      <c r="B34" t="s">
        <v>137</v>
      </c>
      <c r="C34">
        <v>10935</v>
      </c>
      <c r="D34">
        <v>110109</v>
      </c>
      <c r="E34">
        <f t="shared" si="0"/>
        <v>10109</v>
      </c>
    </row>
    <row r="35" spans="1:5" x14ac:dyDescent="0.25">
      <c r="B35">
        <v>0</v>
      </c>
    </row>
    <row r="36" spans="1:5" x14ac:dyDescent="0.25">
      <c r="B36">
        <v>0</v>
      </c>
    </row>
    <row r="37" spans="1:5" x14ac:dyDescent="0.25">
      <c r="B37">
        <v>0</v>
      </c>
    </row>
    <row r="38" spans="1:5" x14ac:dyDescent="0.25">
      <c r="B38">
        <v>0</v>
      </c>
    </row>
    <row r="39" spans="1:5" x14ac:dyDescent="0.25">
      <c r="B39">
        <v>0</v>
      </c>
    </row>
    <row r="40" spans="1:5" x14ac:dyDescent="0.25">
      <c r="A4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MRPU</vt:lpstr>
      <vt:lpstr>FRFCF</vt:lpstr>
      <vt:lpstr>Sheet3</vt:lpstr>
      <vt:lpstr>Sheet3!test1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Windows User</cp:lastModifiedBy>
  <cp:lastPrinted>2022-09-21T06:17:50Z</cp:lastPrinted>
  <dcterms:created xsi:type="dcterms:W3CDTF">2022-09-21T05:52:39Z</dcterms:created>
  <dcterms:modified xsi:type="dcterms:W3CDTF">2022-09-27T13:43:10Z</dcterms:modified>
</cp:coreProperties>
</file>