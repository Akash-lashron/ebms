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0" yWindow="30" windowWidth="3645" windowHeight="1965" activeTab="5"/>
  </bookViews>
  <sheets>
    <sheet name="Gen 1000" sheetId="1" r:id="rId1"/>
    <sheet name="Gen 1001" sheetId="7" r:id="rId2"/>
    <sheet name="Gen 1003" sheetId="10" r:id="rId3"/>
    <sheet name="Gen 1004" sheetId="11" r:id="rId4"/>
    <sheet name="Steel 1021" sheetId="2" r:id="rId5"/>
    <sheet name="Steel 1022" sheetId="9" r:id="rId6"/>
  </sheets>
  <definedNames>
    <definedName name="_xlnm.Print_Area" localSheetId="0">'Gen 1000'!$A$1:$I$56</definedName>
    <definedName name="_xlnm.Print_Area" localSheetId="1">'Gen 1001'!$A$1:$I$39</definedName>
    <definedName name="_xlnm.Print_Area" localSheetId="2">'Gen 1003'!$A$1:$I$27</definedName>
    <definedName name="_xlnm.Print_Area" localSheetId="3">'Gen 1004'!$A$1:$I$36</definedName>
    <definedName name="_xlnm.Print_Titles" localSheetId="0">'Gen 1000'!$1:$8</definedName>
    <definedName name="_xlnm.Print_Titles" localSheetId="1">'Gen 1001'!$1:$7</definedName>
    <definedName name="_xlnm.Print_Titles" localSheetId="2">'Gen 1003'!$1:$7</definedName>
    <definedName name="_xlnm.Print_Titles" localSheetId="3">'Gen 1004'!$1:$8</definedName>
    <definedName name="_xlnm.Print_Titles" localSheetId="4">'Steel 1021'!$1:$7</definedName>
    <definedName name="_xlnm.Print_Titles" localSheetId="5">'Steel 1022'!$1:$7</definedName>
  </definedNames>
  <calcPr calcId="152511"/>
</workbook>
</file>

<file path=xl/calcChain.xml><?xml version="1.0" encoding="utf-8"?>
<calcChain xmlns="http://schemas.openxmlformats.org/spreadsheetml/2006/main">
  <c r="F11" i="9" l="1"/>
  <c r="E13" i="9"/>
  <c r="O22" i="9"/>
  <c r="N22" i="9"/>
  <c r="M22" i="9"/>
  <c r="K22" i="9"/>
  <c r="J22" i="9"/>
  <c r="I22" i="9"/>
  <c r="H22" i="9"/>
  <c r="G22" i="9"/>
  <c r="E22" i="9"/>
  <c r="L22" i="9" s="1"/>
  <c r="O20" i="9"/>
  <c r="N20" i="9"/>
  <c r="M20" i="9"/>
  <c r="L20" i="9"/>
  <c r="K20" i="9"/>
  <c r="J20" i="9"/>
  <c r="I20" i="9"/>
  <c r="G20" i="9"/>
  <c r="F20" i="9"/>
  <c r="E20" i="9"/>
  <c r="O19" i="9"/>
  <c r="N19" i="9"/>
  <c r="M19" i="9"/>
  <c r="L19" i="9"/>
  <c r="K19" i="9"/>
  <c r="J19" i="9"/>
  <c r="I19" i="9"/>
  <c r="G19" i="9"/>
  <c r="F19" i="9"/>
  <c r="E19" i="9"/>
  <c r="H19" i="9" s="1"/>
  <c r="O18" i="9"/>
  <c r="N18" i="9"/>
  <c r="M18" i="9"/>
  <c r="L18" i="9"/>
  <c r="K18" i="9"/>
  <c r="J18" i="9"/>
  <c r="I18" i="9"/>
  <c r="G18" i="9"/>
  <c r="F18" i="9"/>
  <c r="E18" i="9"/>
  <c r="N16" i="9"/>
  <c r="M16" i="9"/>
  <c r="L16" i="9"/>
  <c r="K16" i="9"/>
  <c r="J16" i="9"/>
  <c r="I16" i="9"/>
  <c r="H16" i="9"/>
  <c r="G16" i="9"/>
  <c r="F16" i="9"/>
  <c r="E16" i="9"/>
  <c r="O14" i="9"/>
  <c r="N14" i="9"/>
  <c r="M14" i="9"/>
  <c r="L14" i="9"/>
  <c r="J14" i="9"/>
  <c r="I14" i="9"/>
  <c r="H14" i="9"/>
  <c r="G14" i="9"/>
  <c r="F14" i="9"/>
  <c r="E14" i="9"/>
  <c r="O13" i="9"/>
  <c r="N13" i="9"/>
  <c r="M13" i="9"/>
  <c r="L13" i="9"/>
  <c r="J13" i="9"/>
  <c r="I13" i="9"/>
  <c r="H13" i="9"/>
  <c r="G13" i="9"/>
  <c r="F13" i="9"/>
  <c r="K13" i="9"/>
  <c r="O12" i="9"/>
  <c r="N12" i="9"/>
  <c r="M12" i="9"/>
  <c r="L12" i="9"/>
  <c r="J12" i="9"/>
  <c r="I12" i="9"/>
  <c r="H12" i="9"/>
  <c r="G12" i="9"/>
  <c r="E12" i="9"/>
  <c r="K12" i="9" s="1"/>
  <c r="O11" i="9"/>
  <c r="N11" i="9"/>
  <c r="M11" i="9"/>
  <c r="L11" i="9"/>
  <c r="J11" i="9"/>
  <c r="I11" i="9"/>
  <c r="H11" i="9"/>
  <c r="G11" i="9"/>
  <c r="E11" i="9"/>
  <c r="K11" i="9" s="1"/>
  <c r="O10" i="9"/>
  <c r="N10" i="9"/>
  <c r="M10" i="9"/>
  <c r="L10" i="9"/>
  <c r="J10" i="9"/>
  <c r="I10" i="9"/>
  <c r="H10" i="9"/>
  <c r="G10" i="9"/>
  <c r="F10" i="9"/>
  <c r="E10" i="9"/>
  <c r="O9" i="9"/>
  <c r="N9" i="9"/>
  <c r="M9" i="9"/>
  <c r="L9" i="9"/>
  <c r="J9" i="9"/>
  <c r="I9" i="9"/>
  <c r="H9" i="9"/>
  <c r="G9" i="9"/>
  <c r="F9" i="9"/>
  <c r="E9" i="9"/>
  <c r="K10" i="9" l="1"/>
  <c r="O16" i="9"/>
  <c r="K9" i="9"/>
  <c r="K14" i="9"/>
  <c r="H18" i="9"/>
  <c r="H20" i="9"/>
  <c r="G9" i="2" l="1"/>
  <c r="O62" i="2"/>
  <c r="N62" i="2"/>
  <c r="M62" i="2"/>
  <c r="L62" i="2"/>
  <c r="K62" i="2"/>
  <c r="J62" i="2"/>
  <c r="I62" i="2"/>
  <c r="H62" i="2"/>
  <c r="G62" i="2"/>
  <c r="O60" i="2"/>
  <c r="N60" i="2"/>
  <c r="M60" i="2"/>
  <c r="L60" i="2"/>
  <c r="K60" i="2"/>
  <c r="J60" i="2"/>
  <c r="I60" i="2"/>
  <c r="H60" i="2"/>
  <c r="G60" i="2"/>
  <c r="O58" i="2"/>
  <c r="N58" i="2"/>
  <c r="L58" i="2"/>
  <c r="K58" i="2"/>
  <c r="J58" i="2"/>
  <c r="I58" i="2"/>
  <c r="H58" i="2"/>
  <c r="G58" i="2"/>
  <c r="F58" i="2"/>
  <c r="E58" i="2"/>
  <c r="O56" i="2"/>
  <c r="N56" i="2"/>
  <c r="M56" i="2"/>
  <c r="L56" i="2"/>
  <c r="K56" i="2"/>
  <c r="J56" i="2"/>
  <c r="I56" i="2"/>
  <c r="H56" i="2"/>
  <c r="G56" i="2"/>
  <c r="O54" i="2"/>
  <c r="N54" i="2"/>
  <c r="M54" i="2"/>
  <c r="K54" i="2"/>
  <c r="J54" i="2"/>
  <c r="I54" i="2"/>
  <c r="H54" i="2"/>
  <c r="G54" i="2"/>
  <c r="F54" i="2"/>
  <c r="E54" i="2"/>
  <c r="O52" i="2"/>
  <c r="N52" i="2"/>
  <c r="M52" i="2"/>
  <c r="L52" i="2"/>
  <c r="K52" i="2"/>
  <c r="J52" i="2"/>
  <c r="I52" i="2"/>
  <c r="G52" i="2"/>
  <c r="F52" i="2"/>
  <c r="H52" i="2" s="1"/>
  <c r="O51" i="2"/>
  <c r="N51" i="2"/>
  <c r="M51" i="2"/>
  <c r="L51" i="2"/>
  <c r="K51" i="2"/>
  <c r="J51" i="2"/>
  <c r="I51" i="2"/>
  <c r="G51" i="2"/>
  <c r="F51" i="2"/>
  <c r="H51" i="2" s="1"/>
  <c r="O50" i="2"/>
  <c r="N50" i="2"/>
  <c r="M50" i="2"/>
  <c r="L50" i="2"/>
  <c r="K50" i="2"/>
  <c r="J50" i="2"/>
  <c r="I50" i="2"/>
  <c r="G50" i="2"/>
  <c r="F50" i="2"/>
  <c r="H50" i="2" s="1"/>
  <c r="O49" i="2"/>
  <c r="N49" i="2"/>
  <c r="M49" i="2"/>
  <c r="L49" i="2"/>
  <c r="K49" i="2"/>
  <c r="J49" i="2"/>
  <c r="I49" i="2"/>
  <c r="G49" i="2"/>
  <c r="F49" i="2"/>
  <c r="H49" i="2" s="1"/>
  <c r="O48" i="2"/>
  <c r="N48" i="2"/>
  <c r="M48" i="2"/>
  <c r="L48" i="2"/>
  <c r="K48" i="2"/>
  <c r="J48" i="2"/>
  <c r="I48" i="2"/>
  <c r="G48" i="2"/>
  <c r="F48" i="2"/>
  <c r="E48" i="2"/>
  <c r="N46" i="2"/>
  <c r="M46" i="2"/>
  <c r="L46" i="2"/>
  <c r="K46" i="2"/>
  <c r="J46" i="2"/>
  <c r="I46" i="2"/>
  <c r="H46" i="2"/>
  <c r="G46" i="2"/>
  <c r="F46" i="2"/>
  <c r="O46" i="2" s="1"/>
  <c r="O44" i="2"/>
  <c r="N44" i="2"/>
  <c r="M44" i="2"/>
  <c r="L44" i="2"/>
  <c r="K44" i="2"/>
  <c r="J44" i="2"/>
  <c r="I44" i="2"/>
  <c r="G44" i="2"/>
  <c r="F44" i="2"/>
  <c r="E44" i="2"/>
  <c r="O43" i="2"/>
  <c r="N43" i="2"/>
  <c r="M43" i="2"/>
  <c r="L43" i="2"/>
  <c r="K43" i="2"/>
  <c r="J43" i="2"/>
  <c r="I43" i="2"/>
  <c r="G43" i="2"/>
  <c r="F43" i="2"/>
  <c r="E43" i="2"/>
  <c r="O42" i="2"/>
  <c r="N42" i="2"/>
  <c r="M42" i="2"/>
  <c r="L42" i="2"/>
  <c r="K42" i="2"/>
  <c r="J42" i="2"/>
  <c r="I42" i="2"/>
  <c r="G42" i="2"/>
  <c r="F42" i="2"/>
  <c r="E42" i="2"/>
  <c r="N40" i="2"/>
  <c r="M40" i="2"/>
  <c r="L40" i="2"/>
  <c r="K40" i="2"/>
  <c r="J40" i="2"/>
  <c r="I40" i="2"/>
  <c r="H40" i="2"/>
  <c r="G40" i="2"/>
  <c r="F40" i="2"/>
  <c r="O40" i="2" s="1"/>
  <c r="O38" i="2"/>
  <c r="N38" i="2"/>
  <c r="M38" i="2"/>
  <c r="L38" i="2"/>
  <c r="K38" i="2"/>
  <c r="J38" i="2"/>
  <c r="I38" i="2"/>
  <c r="G38" i="2"/>
  <c r="F38" i="2"/>
  <c r="E38" i="2"/>
  <c r="O37" i="2"/>
  <c r="N37" i="2"/>
  <c r="M37" i="2"/>
  <c r="L37" i="2"/>
  <c r="K37" i="2"/>
  <c r="J37" i="2"/>
  <c r="I37" i="2"/>
  <c r="G37" i="2"/>
  <c r="F37" i="2"/>
  <c r="E37" i="2"/>
  <c r="O36" i="2"/>
  <c r="N36" i="2"/>
  <c r="M36" i="2"/>
  <c r="L36" i="2"/>
  <c r="K36" i="2"/>
  <c r="J36" i="2"/>
  <c r="I36" i="2"/>
  <c r="G36" i="2"/>
  <c r="F36" i="2"/>
  <c r="E36" i="2"/>
  <c r="N34" i="2"/>
  <c r="M34" i="2"/>
  <c r="L34" i="2"/>
  <c r="K34" i="2"/>
  <c r="J34" i="2"/>
  <c r="I34" i="2"/>
  <c r="H34" i="2"/>
  <c r="G34" i="2"/>
  <c r="F34" i="2"/>
  <c r="E34" i="2"/>
  <c r="O32" i="2"/>
  <c r="N32" i="2"/>
  <c r="M32" i="2"/>
  <c r="L32" i="2"/>
  <c r="K32" i="2"/>
  <c r="J32" i="2"/>
  <c r="I32" i="2"/>
  <c r="G32" i="2"/>
  <c r="F32" i="2"/>
  <c r="H32" i="2" s="1"/>
  <c r="O31" i="2"/>
  <c r="N31" i="2"/>
  <c r="M31" i="2"/>
  <c r="L31" i="2"/>
  <c r="K31" i="2"/>
  <c r="J31" i="2"/>
  <c r="I31" i="2"/>
  <c r="G31" i="2"/>
  <c r="F31" i="2"/>
  <c r="E31" i="2"/>
  <c r="O30" i="2"/>
  <c r="N30" i="2"/>
  <c r="M30" i="2"/>
  <c r="L30" i="2"/>
  <c r="K30" i="2"/>
  <c r="J30" i="2"/>
  <c r="I30" i="2"/>
  <c r="G30" i="2"/>
  <c r="F30" i="2"/>
  <c r="H30" i="2" s="1"/>
  <c r="O29" i="2"/>
  <c r="N29" i="2"/>
  <c r="M29" i="2"/>
  <c r="L29" i="2"/>
  <c r="K29" i="2"/>
  <c r="J29" i="2"/>
  <c r="I29" i="2"/>
  <c r="G29" i="2"/>
  <c r="F29" i="2"/>
  <c r="E29" i="2"/>
  <c r="O28" i="2"/>
  <c r="N28" i="2"/>
  <c r="M28" i="2"/>
  <c r="L28" i="2"/>
  <c r="K28" i="2"/>
  <c r="J28" i="2"/>
  <c r="I28" i="2"/>
  <c r="G28" i="2"/>
  <c r="F28" i="2"/>
  <c r="E28" i="2"/>
  <c r="N26" i="2"/>
  <c r="M26" i="2"/>
  <c r="L26" i="2"/>
  <c r="K26" i="2"/>
  <c r="J26" i="2"/>
  <c r="I26" i="2"/>
  <c r="H26" i="2"/>
  <c r="G26" i="2"/>
  <c r="F26" i="2"/>
  <c r="O26" i="2" s="1"/>
  <c r="E26" i="2"/>
  <c r="O24" i="2"/>
  <c r="N24" i="2"/>
  <c r="M24" i="2"/>
  <c r="L24" i="2"/>
  <c r="K24" i="2"/>
  <c r="J24" i="2"/>
  <c r="I24" i="2"/>
  <c r="G24" i="2"/>
  <c r="F24" i="2"/>
  <c r="E24" i="2"/>
  <c r="O23" i="2"/>
  <c r="N23" i="2"/>
  <c r="M23" i="2"/>
  <c r="L23" i="2"/>
  <c r="K23" i="2"/>
  <c r="J23" i="2"/>
  <c r="I23" i="2"/>
  <c r="G23" i="2"/>
  <c r="F23" i="2"/>
  <c r="E23" i="2"/>
  <c r="O22" i="2"/>
  <c r="N22" i="2"/>
  <c r="M22" i="2"/>
  <c r="L22" i="2"/>
  <c r="K22" i="2"/>
  <c r="J22" i="2"/>
  <c r="I22" i="2"/>
  <c r="G22" i="2"/>
  <c r="F22" i="2"/>
  <c r="E22" i="2"/>
  <c r="H22" i="2" s="1"/>
  <c r="N20" i="2"/>
  <c r="M20" i="2"/>
  <c r="L20" i="2"/>
  <c r="K20" i="2"/>
  <c r="J20" i="2"/>
  <c r="I20" i="2"/>
  <c r="H20" i="2"/>
  <c r="G20" i="2"/>
  <c r="F20" i="2"/>
  <c r="E20" i="2"/>
  <c r="O18" i="2"/>
  <c r="N18" i="2"/>
  <c r="M18" i="2"/>
  <c r="L18" i="2"/>
  <c r="K18" i="2"/>
  <c r="J18" i="2"/>
  <c r="I18" i="2"/>
  <c r="H18" i="2"/>
  <c r="G18" i="2"/>
  <c r="O17" i="2"/>
  <c r="N17" i="2"/>
  <c r="M17" i="2"/>
  <c r="L17" i="2"/>
  <c r="J17" i="2"/>
  <c r="I17" i="2"/>
  <c r="H17" i="2"/>
  <c r="G17" i="2"/>
  <c r="F17" i="2"/>
  <c r="K17" i="2" s="1"/>
  <c r="O16" i="2"/>
  <c r="N16" i="2"/>
  <c r="M16" i="2"/>
  <c r="L16" i="2"/>
  <c r="J16" i="2"/>
  <c r="I16" i="2"/>
  <c r="H16" i="2"/>
  <c r="G16" i="2"/>
  <c r="E16" i="2"/>
  <c r="K16" i="2" s="1"/>
  <c r="O15" i="2"/>
  <c r="N15" i="2"/>
  <c r="M15" i="2"/>
  <c r="L15" i="2"/>
  <c r="J15" i="2"/>
  <c r="I15" i="2"/>
  <c r="H15" i="2"/>
  <c r="G15" i="2"/>
  <c r="F15" i="2"/>
  <c r="E15" i="2"/>
  <c r="O14" i="2"/>
  <c r="N14" i="2"/>
  <c r="M14" i="2"/>
  <c r="L14" i="2"/>
  <c r="K14" i="2"/>
  <c r="J14" i="2"/>
  <c r="I14" i="2"/>
  <c r="H14" i="2"/>
  <c r="G14" i="2"/>
  <c r="O13" i="2"/>
  <c r="N13" i="2"/>
  <c r="M13" i="2"/>
  <c r="L13" i="2"/>
  <c r="J13" i="2"/>
  <c r="I13" i="2"/>
  <c r="H13" i="2"/>
  <c r="G13" i="2"/>
  <c r="F13" i="2"/>
  <c r="K13" i="2" s="1"/>
  <c r="O12" i="2"/>
  <c r="N12" i="2"/>
  <c r="M12" i="2"/>
  <c r="L12" i="2"/>
  <c r="K12" i="2"/>
  <c r="J12" i="2"/>
  <c r="I12" i="2"/>
  <c r="H12" i="2"/>
  <c r="G12" i="2"/>
  <c r="O11" i="2"/>
  <c r="N11" i="2"/>
  <c r="M11" i="2"/>
  <c r="L11" i="2"/>
  <c r="J11" i="2"/>
  <c r="I11" i="2"/>
  <c r="H11" i="2"/>
  <c r="G11" i="2"/>
  <c r="F11" i="2"/>
  <c r="K11" i="2" s="1"/>
  <c r="O10" i="2"/>
  <c r="N10" i="2"/>
  <c r="M10" i="2"/>
  <c r="L10" i="2"/>
  <c r="J10" i="2"/>
  <c r="I10" i="2"/>
  <c r="H10" i="2"/>
  <c r="G10" i="2"/>
  <c r="E10" i="2"/>
  <c r="K10" i="2" s="1"/>
  <c r="O9" i="2"/>
  <c r="N9" i="2"/>
  <c r="M9" i="2"/>
  <c r="L9" i="2"/>
  <c r="J9" i="2"/>
  <c r="I9" i="2"/>
  <c r="H9" i="2"/>
  <c r="F9" i="2"/>
  <c r="E9" i="2"/>
  <c r="K15" i="2" l="1"/>
  <c r="H28" i="2"/>
  <c r="H42" i="2"/>
  <c r="H23" i="2"/>
  <c r="H29" i="2"/>
  <c r="H36" i="2"/>
  <c r="H31" i="2"/>
  <c r="H48" i="2"/>
  <c r="H24" i="2"/>
  <c r="H37" i="2"/>
  <c r="O20" i="2"/>
  <c r="L54" i="2"/>
  <c r="H43" i="2"/>
  <c r="M58" i="2"/>
  <c r="H38" i="2"/>
  <c r="O34" i="2"/>
  <c r="H44" i="2"/>
  <c r="K9" i="2"/>
  <c r="H30" i="7" l="1"/>
  <c r="H29" i="7"/>
  <c r="H10" i="7" l="1"/>
  <c r="H11" i="7"/>
  <c r="H12" i="7"/>
  <c r="H9" i="7"/>
  <c r="H8" i="7"/>
  <c r="H28" i="7" l="1"/>
  <c r="H27" i="7"/>
  <c r="H26" i="7"/>
  <c r="H25" i="7"/>
  <c r="H24" i="7"/>
  <c r="H23" i="7"/>
  <c r="H22" i="7"/>
  <c r="H21" i="7" l="1"/>
  <c r="H20" i="7"/>
  <c r="H19" i="7"/>
  <c r="H18" i="7"/>
  <c r="H17" i="7"/>
  <c r="H16" i="7"/>
  <c r="H15" i="7"/>
  <c r="H14" i="7"/>
  <c r="H13" i="7"/>
  <c r="H9" i="10" l="1"/>
  <c r="H8" i="10"/>
  <c r="H10" i="10"/>
  <c r="H31" i="7" l="1"/>
  <c r="H32" i="7"/>
</calcChain>
</file>

<file path=xl/sharedStrings.xml><?xml version="1.0" encoding="utf-8"?>
<sst xmlns="http://schemas.openxmlformats.org/spreadsheetml/2006/main" count="259" uniqueCount="110">
  <si>
    <t>L</t>
  </si>
  <si>
    <t>B</t>
  </si>
  <si>
    <t>D</t>
  </si>
  <si>
    <t>Date of Measur
-ement</t>
  </si>
  <si>
    <t>Description of Work</t>
  </si>
  <si>
    <t>Dia of rod [mm]</t>
  </si>
  <si>
    <t>Nos.</t>
  </si>
  <si>
    <t>Length in Metres</t>
  </si>
  <si>
    <t>Remarks</t>
  </si>
  <si>
    <t>NAME OF WORK</t>
  </si>
  <si>
    <t>NAME OF CONTRACTOR</t>
  </si>
  <si>
    <t>WORK ORDER NO</t>
  </si>
  <si>
    <t>AGGREEMENT NO</t>
  </si>
  <si>
    <t>RA BILL NO</t>
  </si>
  <si>
    <t>Item No</t>
  </si>
  <si>
    <t>No.</t>
  </si>
  <si>
    <t>Name of Work</t>
  </si>
  <si>
    <t>TS No</t>
  </si>
  <si>
    <t>W.O NO</t>
  </si>
  <si>
    <t>RA-Bill No</t>
  </si>
  <si>
    <t>Date of Measurement</t>
  </si>
  <si>
    <t>Measurement Up todate</t>
  </si>
  <si>
    <t>Content Area</t>
  </si>
  <si>
    <t>Construction of various buildings of Waste Management Plant and allied structures including Civil, Electrical and Mechanical works for FRFCF at Kalpakkam</t>
  </si>
  <si>
    <t>7.1.1</t>
  </si>
  <si>
    <t>5.8.1</t>
  </si>
  <si>
    <t>C-0225/CV-1 (E)/FRFCF/IGCAR/2015 dt 12.01.2015</t>
  </si>
  <si>
    <t>M/s. Larsen &amp; toubro Limited, Chennai - 600 089</t>
  </si>
  <si>
    <t>IGCAR/FRFCF/CV-1(E)/ETR-025/WO/2016/213 dt. 24.02.2016</t>
  </si>
  <si>
    <t>IGCAR/FRFCF/CIVIL/A.41/2016 dt. 29.02.2016</t>
  </si>
  <si>
    <t>Agt No.</t>
  </si>
  <si>
    <t>Contractor</t>
  </si>
  <si>
    <t>TS. No</t>
  </si>
  <si>
    <t>M/s. Larsen &amp; Toubro Limited, Chennai - 600 089</t>
  </si>
  <si>
    <t>No</t>
  </si>
  <si>
    <t>AGT NO</t>
  </si>
  <si>
    <t>RA BILL No. 03   (Zone-II)                                                                           CC No.7732</t>
  </si>
  <si>
    <t>RA BILL No. 03   (SWB)                                                                               CC No.7732</t>
  </si>
  <si>
    <t>RA BILL No. 03   (Zone-V)                                                                               CC No.7732</t>
  </si>
  <si>
    <t>RA BILL No. 03   (Zone-III)                                                                               CC No.7605</t>
  </si>
  <si>
    <t>RA BILL NO. 03               ( SWB )                                                                                                                                                                                                                 CC NO.   7605</t>
  </si>
  <si>
    <t xml:space="preserve">F - 16,17,23,24  EL(-24.75  to -23.25) </t>
  </si>
  <si>
    <t xml:space="preserve">F - 509 (Grid G to K &amp; 37a to 40) EL(-24.75  to -23.25) </t>
  </si>
  <si>
    <t>-</t>
  </si>
  <si>
    <t>5.7.1</t>
  </si>
  <si>
    <t>F - 29 (Grid E &amp; 1)
AFL -25.544  to TOC -24.75</t>
  </si>
  <si>
    <t>F - 30 (Grid E &amp; 2) 
AFL -25.381  to TOC -24.75</t>
  </si>
  <si>
    <t>F - 32 (Grid E &amp; 4) 
AFL -24.991  to TOC -24.75</t>
  </si>
  <si>
    <t>F - 39 (Grid F-G &amp; 1) 
AFL -25.103  to TOC -24.75</t>
  </si>
  <si>
    <t>F - 36 (Grid F-G &amp; 1) 
AFL -25.316  to TOC -24.75</t>
  </si>
  <si>
    <t>F - 43 (Grid G &amp; 2) 
AFL -25.475  to TOC -24.75</t>
  </si>
  <si>
    <t>F - 45 (Grid G &amp; 4) 
AFL -25.254  to TOC -24.75</t>
  </si>
  <si>
    <t>F - 48 (Grid H &amp; 1-2) 
AFL -25.080  to TOC -24.75</t>
  </si>
  <si>
    <t>F - 49 (Grid H &amp; 3) 
AFL -25.082  to TOC -24.75</t>
  </si>
  <si>
    <t>F - 31 (Grid E &amp; 3)
AFL -25.529  to TOC -24.75</t>
  </si>
  <si>
    <t>F - 37 (Grid F &amp; 2) 
AFL -26.102  to TOC -24.75</t>
  </si>
  <si>
    <t>F - 38 (Grid F &amp; 3) 
AFL -25.714  to TOC -24.75</t>
  </si>
  <si>
    <t>F - 44 (Grid G &amp; 3) 
AFL -25.257  to TOC -24.75</t>
  </si>
  <si>
    <t>F - 50 (Grid H &amp; 4) 
AFL -25.159  to TOC -24.75</t>
  </si>
  <si>
    <t>F - 53 (Grid J &amp; 3) 
AFL -25.039  to TOC -24.75</t>
  </si>
  <si>
    <t>F - 54 (Grid J &amp; 4) 
AFL -25.313  to TOC -24.75</t>
  </si>
  <si>
    <t>F - 2 (Grid Aa &amp; 4)
AFL -25.151  to TOC -24.75</t>
  </si>
  <si>
    <t>F - 5 (Grid A &amp; 4)
AFL -25.206 TOC -24.75</t>
  </si>
  <si>
    <t>F - 11 (Grid B &amp; 4)
AFL -25.264  to TOC -24.75</t>
  </si>
  <si>
    <t>F - 17 (Grid C &amp; 4)
AFL -25.044  to TOC -24.75</t>
  </si>
  <si>
    <t>F - 24 (Grid D &amp; 4)
AFL -24.993  to TOC -24.75</t>
  </si>
  <si>
    <t>F - 18 (Grid C &amp; 5)
AFL -25.096  to TOC -24.75</t>
  </si>
  <si>
    <t>F - 25 (Grid D &amp; 5) 
AFL -25.095  to TOC -24.75</t>
  </si>
  <si>
    <t>25.04.2016</t>
  </si>
  <si>
    <t>Footing  ( F - 509 )</t>
  </si>
  <si>
    <t>Bottom  N/S direction @150C/C</t>
  </si>
  <si>
    <t xml:space="preserve">Bottom  N/S direction laps </t>
  </si>
  <si>
    <t>Bottom  E/W direction @150C/C</t>
  </si>
  <si>
    <t>Bottom  E/W direction laps</t>
  </si>
  <si>
    <t>Top  E/W direction @150C/C</t>
  </si>
  <si>
    <t>Top  E/W direction laps</t>
  </si>
  <si>
    <t>Top  N/S direction @150C/C</t>
  </si>
  <si>
    <t xml:space="preserve">Top  N/S direction laps </t>
  </si>
  <si>
    <t>Face Bars @ 250C/C</t>
  </si>
  <si>
    <t>Lap</t>
  </si>
  <si>
    <t>Column C5035,5036,5040,5041 (4nos)</t>
  </si>
  <si>
    <t>Verticals upto EL-23.25</t>
  </si>
  <si>
    <t>Master ring @ 150C/C</t>
  </si>
  <si>
    <t>Internal ring @ 150C/C</t>
  </si>
  <si>
    <t>Column C5037,5042 (2nos)</t>
  </si>
  <si>
    <t>Master ring @ 125C/C</t>
  </si>
  <si>
    <t>Internal ring @ 125C/C</t>
  </si>
  <si>
    <t>Internal links @ 125C/C</t>
  </si>
  <si>
    <t>Column C5047</t>
  </si>
  <si>
    <t>Master ring @ 100C/C</t>
  </si>
  <si>
    <t>Internal ring @ 100C/C</t>
  </si>
  <si>
    <t>Column C5046</t>
  </si>
  <si>
    <t>Column C5045</t>
  </si>
  <si>
    <t>SHW506</t>
  </si>
  <si>
    <t>Spacer bars</t>
  </si>
  <si>
    <t>SHW510</t>
  </si>
  <si>
    <t>Chairs</t>
  </si>
  <si>
    <t>8.1.1</t>
  </si>
  <si>
    <t>8.1.2</t>
  </si>
  <si>
    <t>Footing  ( F - 16,17,23,24 ) = 4nos</t>
  </si>
  <si>
    <t>Top mat E/W direction @150C/C</t>
  </si>
  <si>
    <t>Top mat N/S direction @150C/C</t>
  </si>
  <si>
    <t>Column C120,121,130,131=4nos</t>
  </si>
  <si>
    <t>Internal links @ 100C/C</t>
  </si>
  <si>
    <t>RA BILL NO. 03   (Zone - V)                                                                                                                                                        CC NO.   7732</t>
  </si>
  <si>
    <t>01.06.2016</t>
  </si>
  <si>
    <t>08.06.2016</t>
  </si>
  <si>
    <t>11.06.2016</t>
  </si>
  <si>
    <t>13.06.2016</t>
  </si>
  <si>
    <t>07.06.2016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</si>
</sst>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dd\-mm\-yyyy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8.5"/>
      <color indexed="8"/>
      <name val="Arial"/>
      <family val="2"/>
    </font>
    <font>
      <sz val="10"/>
      <color indexed="8"/>
      <name val="Arial"/>
      <family val="2"/>
    </font>
    <font>
      <b/>
      <i/>
      <sz val="10"/>
      <name val="Bookman Old Style"/>
      <family val="1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indexed="8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u/>
      <sz val="11"/>
      <color theme="1"/>
      <name val="Calibri"/>
      <family val="2"/>
      <scheme val="minor"/>
    </font>
    <font>
      <b/>
      <sz val="11"/>
      <name val="Bookman Old Style"/>
      <family val="1"/>
    </font>
    <font>
      <b/>
      <i/>
      <sz val="11"/>
      <name val="Bookman Old Style"/>
      <family val="1"/>
    </font>
    <font>
      <b/>
      <sz val="1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0">
    <xf numFmtId="0" fontId="0" fillId="0" borderId="0" xfId="0"/>
    <xf numFmtId="0" fontId="0" fillId="0" borderId="1" xfId="0" applyFont="1" applyBorder="1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0" xfId="0" applyFont="1" applyAlignment="1">
      <alignment horizontal="center" vertical="center"/>
    </xf>
    <xf numFmtId="166" fontId="1" fillId="0" borderId="1" xfId="0" applyNumberFormat="1" applyFont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Border="1"/>
    <xf numFmtId="164" fontId="9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6" xfId="0" applyFont="1" applyBorder="1"/>
    <xf numFmtId="0" fontId="9" fillId="0" borderId="5" xfId="0" applyFont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Border="1" applyAlignment="1">
      <alignment horizontal="left" vertical="top" indent="1"/>
    </xf>
    <xf numFmtId="0" fontId="9" fillId="0" borderId="9" xfId="0" applyFont="1" applyBorder="1" applyAlignment="1">
      <alignment horizontal="left" vertical="top" wrapText="1" indent="1"/>
    </xf>
    <xf numFmtId="0" fontId="9" fillId="0" borderId="9" xfId="0" applyFont="1" applyBorder="1" applyAlignment="1">
      <alignment horizontal="left" vertical="top" indent="1"/>
    </xf>
    <xf numFmtId="0" fontId="9" fillId="0" borderId="1" xfId="0" applyFont="1" applyBorder="1" applyAlignment="1">
      <alignment horizontal="left" vertical="top" indent="1"/>
    </xf>
    <xf numFmtId="0" fontId="9" fillId="0" borderId="0" xfId="0" applyFont="1" applyAlignment="1">
      <alignment horizontal="left" vertical="top" indent="1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0" fontId="12" fillId="0" borderId="9" xfId="0" applyFont="1" applyFill="1" applyBorder="1" applyAlignment="1" applyProtection="1">
      <alignment horizontal="right" vertical="center" wrapText="1"/>
      <protection locked="0"/>
    </xf>
    <xf numFmtId="164" fontId="12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13" fillId="0" borderId="9" xfId="0" applyFont="1" applyFill="1" applyBorder="1" applyAlignment="1" applyProtection="1">
      <alignment horizontal="right" vertical="center" wrapText="1"/>
      <protection locked="0"/>
    </xf>
    <xf numFmtId="0" fontId="14" fillId="0" borderId="5" xfId="0" applyFont="1" applyFill="1" applyBorder="1" applyAlignment="1" applyProtection="1">
      <alignment horizontal="right" wrapText="1"/>
      <protection locked="0"/>
    </xf>
    <xf numFmtId="0" fontId="12" fillId="0" borderId="9" xfId="0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 applyProtection="1">
      <alignment horizontal="center" vertical="center" wrapText="1"/>
      <protection locked="0"/>
    </xf>
    <xf numFmtId="0" fontId="13" fillId="0" borderId="10" xfId="0" applyFont="1" applyFill="1" applyBorder="1" applyAlignment="1" applyProtection="1">
      <alignment horizontal="center" vertical="center" wrapText="1"/>
      <protection locked="0"/>
    </xf>
    <xf numFmtId="0" fontId="14" fillId="0" borderId="7" xfId="0" applyFont="1" applyFill="1" applyBorder="1" applyAlignment="1" applyProtection="1">
      <alignment horizontal="center" wrapText="1"/>
      <protection locked="0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right" vertical="top"/>
    </xf>
    <xf numFmtId="0" fontId="9" fillId="0" borderId="9" xfId="0" applyFont="1" applyBorder="1" applyAlignment="1">
      <alignment horizontal="right" vertical="top"/>
    </xf>
    <xf numFmtId="0" fontId="9" fillId="0" borderId="6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13" fillId="0" borderId="9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Fill="1" applyBorder="1" applyAlignment="1" applyProtection="1">
      <alignment horizontal="center" wrapText="1"/>
      <protection locked="0"/>
    </xf>
    <xf numFmtId="0" fontId="10" fillId="0" borderId="5" xfId="0" applyFont="1" applyBorder="1" applyAlignment="1">
      <alignment horizontal="right" vertical="center"/>
    </xf>
    <xf numFmtId="164" fontId="15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15" fillId="0" borderId="10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/>
    <xf numFmtId="164" fontId="0" fillId="0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horizontal="center"/>
    </xf>
    <xf numFmtId="164" fontId="0" fillId="0" borderId="1" xfId="0" applyNumberFormat="1" applyFont="1" applyBorder="1"/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Fill="1" applyBorder="1" applyAlignment="1" applyProtection="1">
      <alignment horizontal="right" vertical="center"/>
      <protection locked="0"/>
    </xf>
    <xf numFmtId="164" fontId="0" fillId="0" borderId="1" xfId="0" applyNumberFormat="1" applyFont="1" applyFill="1" applyBorder="1" applyAlignment="1" applyProtection="1">
      <alignment horizontal="right" vertical="center"/>
      <protection locked="0"/>
    </xf>
    <xf numFmtId="164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vertical="center" wrapText="1"/>
      <protection locked="0"/>
    </xf>
    <xf numFmtId="2" fontId="1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vertical="center" wrapText="1"/>
    </xf>
    <xf numFmtId="2" fontId="1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right" vertical="center" wrapText="1"/>
      <protection hidden="1"/>
    </xf>
    <xf numFmtId="0" fontId="7" fillId="0" borderId="1" xfId="0" applyFont="1" applyBorder="1" applyAlignment="1" applyProtection="1">
      <alignment vertical="center" wrapText="1"/>
      <protection hidden="1"/>
    </xf>
    <xf numFmtId="164" fontId="7" fillId="0" borderId="1" xfId="0" applyNumberFormat="1" applyFont="1" applyBorder="1" applyAlignment="1" applyProtection="1">
      <alignment vertical="center" wrapText="1"/>
      <protection hidden="1"/>
    </xf>
    <xf numFmtId="0" fontId="0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166" fontId="0" fillId="0" borderId="1" xfId="0" applyNumberFormat="1" applyFont="1" applyBorder="1" applyAlignment="1">
      <alignment vertical="center"/>
    </xf>
    <xf numFmtId="166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0" fillId="0" borderId="0" xfId="0" applyFont="1" applyAlignment="1">
      <alignment wrapText="1"/>
    </xf>
    <xf numFmtId="0" fontId="12" fillId="0" borderId="5" xfId="0" applyFont="1" applyFill="1" applyBorder="1" applyAlignment="1" applyProtection="1">
      <alignment vertical="center" wrapText="1"/>
      <protection locked="0"/>
    </xf>
    <xf numFmtId="0" fontId="12" fillId="0" borderId="7" xfId="0" applyFont="1" applyFill="1" applyBorder="1" applyAlignment="1" applyProtection="1">
      <alignment vertical="center" wrapText="1"/>
      <protection locked="0"/>
    </xf>
    <xf numFmtId="0" fontId="0" fillId="0" borderId="0" xfId="0" applyFill="1"/>
    <xf numFmtId="2" fontId="0" fillId="0" borderId="1" xfId="0" applyNumberFormat="1" applyFill="1" applyBorder="1"/>
    <xf numFmtId="0" fontId="0" fillId="0" borderId="1" xfId="0" applyFill="1" applyBorder="1" applyAlignment="1">
      <alignment vertical="center"/>
    </xf>
    <xf numFmtId="2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right"/>
      <protection locked="0"/>
    </xf>
    <xf numFmtId="164" fontId="0" fillId="0" borderId="1" xfId="0" applyNumberFormat="1" applyFill="1" applyBorder="1" applyAlignment="1" applyProtection="1">
      <alignment horizontal="right"/>
      <protection locked="0"/>
    </xf>
    <xf numFmtId="0" fontId="0" fillId="0" borderId="1" xfId="0" applyFont="1" applyFill="1" applyBorder="1"/>
    <xf numFmtId="0" fontId="1" fillId="0" borderId="1" xfId="0" applyFont="1" applyFill="1" applyBorder="1" applyAlignment="1" applyProtection="1">
      <alignment vertical="center"/>
      <protection locked="0"/>
    </xf>
    <xf numFmtId="0" fontId="0" fillId="0" borderId="1" xfId="0" applyFill="1" applyBorder="1" applyProtection="1">
      <protection locked="0"/>
    </xf>
    <xf numFmtId="164" fontId="0" fillId="0" borderId="1" xfId="0" applyNumberFormat="1" applyFill="1" applyBorder="1" applyAlignment="1">
      <alignment vertical="center"/>
    </xf>
    <xf numFmtId="2" fontId="6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164" fontId="5" fillId="0" borderId="1" xfId="0" applyNumberFormat="1" applyFont="1" applyFill="1" applyBorder="1" applyAlignment="1">
      <alignment vertical="center" wrapText="1"/>
    </xf>
    <xf numFmtId="164" fontId="5" fillId="0" borderId="1" xfId="0" applyNumberFormat="1" applyFont="1" applyFill="1" applyBorder="1" applyAlignment="1" applyProtection="1">
      <alignment vertical="center" wrapText="1"/>
      <protection hidden="1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/>
    <xf numFmtId="164" fontId="1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right"/>
    </xf>
    <xf numFmtId="2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top"/>
    </xf>
    <xf numFmtId="0" fontId="13" fillId="0" borderId="8" xfId="0" applyFont="1" applyFill="1" applyBorder="1" applyAlignment="1" applyProtection="1">
      <alignment horizontal="right" vertical="center" wrapText="1"/>
      <protection locked="0"/>
    </xf>
    <xf numFmtId="0" fontId="13" fillId="0" borderId="10" xfId="0" applyFont="1" applyFill="1" applyBorder="1" applyAlignment="1" applyProtection="1">
      <alignment horizontal="right" vertical="center" wrapText="1"/>
      <protection locked="0"/>
    </xf>
    <xf numFmtId="0" fontId="12" fillId="0" borderId="10" xfId="0" applyFont="1" applyFill="1" applyBorder="1" applyAlignment="1" applyProtection="1">
      <alignment horizontal="right" vertical="center" wrapText="1"/>
      <protection locked="0"/>
    </xf>
    <xf numFmtId="0" fontId="15" fillId="0" borderId="10" xfId="0" applyFont="1" applyFill="1" applyBorder="1" applyAlignment="1" applyProtection="1">
      <alignment horizontal="right" vertical="center" wrapText="1"/>
      <protection locked="0"/>
    </xf>
    <xf numFmtId="0" fontId="9" fillId="0" borderId="17" xfId="0" applyFont="1" applyBorder="1" applyAlignment="1">
      <alignment horizontal="left" vertical="top"/>
    </xf>
    <xf numFmtId="0" fontId="9" fillId="0" borderId="18" xfId="0" applyFont="1" applyBorder="1" applyAlignment="1">
      <alignment horizontal="right" vertical="top"/>
    </xf>
    <xf numFmtId="0" fontId="9" fillId="0" borderId="18" xfId="0" applyFont="1" applyBorder="1" applyAlignment="1">
      <alignment horizontal="left" vertical="top" indent="1"/>
    </xf>
    <xf numFmtId="0" fontId="13" fillId="0" borderId="18" xfId="0" applyFont="1" applyFill="1" applyBorder="1" applyAlignment="1" applyProtection="1">
      <alignment horizontal="center" vertical="center" wrapText="1"/>
      <protection locked="0"/>
    </xf>
    <xf numFmtId="0" fontId="13" fillId="0" borderId="18" xfId="0" applyFont="1" applyFill="1" applyBorder="1" applyAlignment="1" applyProtection="1">
      <alignment horizontal="right" vertical="center" wrapText="1"/>
      <protection locked="0"/>
    </xf>
    <xf numFmtId="0" fontId="13" fillId="0" borderId="19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right" wrapText="1"/>
    </xf>
    <xf numFmtId="0" fontId="7" fillId="0" borderId="1" xfId="0" applyFont="1" applyFill="1" applyBorder="1" applyAlignment="1" applyProtection="1">
      <alignment horizontal="right" wrapText="1"/>
      <protection hidden="1"/>
    </xf>
    <xf numFmtId="164" fontId="7" fillId="0" borderId="1" xfId="0" applyNumberFormat="1" applyFont="1" applyFill="1" applyBorder="1" applyAlignment="1" applyProtection="1">
      <alignment horizontal="right" wrapText="1"/>
      <protection hidden="1"/>
    </xf>
    <xf numFmtId="164" fontId="0" fillId="0" borderId="1" xfId="0" applyNumberFormat="1" applyFill="1" applyBorder="1" applyAlignment="1">
      <alignment horizontal="right" vertical="center"/>
    </xf>
    <xf numFmtId="164" fontId="1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wrapText="1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horizontal="right"/>
    </xf>
    <xf numFmtId="0" fontId="9" fillId="0" borderId="21" xfId="0" applyFont="1" applyBorder="1" applyAlignment="1">
      <alignment horizontal="left" vertical="top" indent="1"/>
    </xf>
    <xf numFmtId="0" fontId="14" fillId="0" borderId="21" xfId="0" applyFont="1" applyFill="1" applyBorder="1" applyAlignment="1" applyProtection="1">
      <alignment horizontal="center" wrapText="1"/>
      <protection locked="0"/>
    </xf>
    <xf numFmtId="0" fontId="14" fillId="0" borderId="21" xfId="0" applyFont="1" applyFill="1" applyBorder="1" applyAlignment="1" applyProtection="1">
      <alignment horizontal="right" wrapText="1"/>
      <protection locked="0"/>
    </xf>
    <xf numFmtId="0" fontId="14" fillId="0" borderId="22" xfId="0" applyFont="1" applyFill="1" applyBorder="1" applyAlignment="1" applyProtection="1">
      <alignment horizontal="center" wrapText="1"/>
      <protection locked="0"/>
    </xf>
    <xf numFmtId="164" fontId="8" fillId="0" borderId="1" xfId="0" applyNumberFormat="1" applyFont="1" applyFill="1" applyBorder="1" applyAlignment="1">
      <alignment horizontal="right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2" fontId="19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 applyProtection="1">
      <alignment horizontal="right" vertical="center" wrapText="1"/>
      <protection hidden="1"/>
    </xf>
    <xf numFmtId="0" fontId="9" fillId="0" borderId="5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right" vertical="center"/>
    </xf>
    <xf numFmtId="0" fontId="0" fillId="0" borderId="23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23" xfId="0" applyBorder="1"/>
    <xf numFmtId="0" fontId="1" fillId="0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165" fontId="11" fillId="2" borderId="1" xfId="0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2" xfId="0" applyFill="1" applyBorder="1" applyAlignment="1">
      <alignment horizontal="left"/>
    </xf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vertical="center" wrapText="1"/>
    </xf>
    <xf numFmtId="0" fontId="12" fillId="2" borderId="1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165" fontId="2" fillId="0" borderId="1" xfId="0" applyNumberFormat="1" applyFont="1" applyFill="1" applyBorder="1" applyAlignment="1" applyProtection="1">
      <alignment vertical="center" wrapText="1"/>
      <protection hidden="1"/>
    </xf>
    <xf numFmtId="0" fontId="2" fillId="0" borderId="1" xfId="0" applyFont="1" applyFill="1" applyBorder="1" applyAlignment="1" applyProtection="1">
      <alignment vertical="center" wrapText="1"/>
      <protection hidden="1"/>
    </xf>
    <xf numFmtId="0" fontId="2" fillId="0" borderId="1" xfId="0" applyFont="1" applyFill="1" applyBorder="1" applyAlignment="1">
      <alignment vertical="center" wrapText="1"/>
    </xf>
    <xf numFmtId="165" fontId="8" fillId="2" borderId="1" xfId="0" applyNumberFormat="1" applyFont="1" applyFill="1" applyBorder="1" applyAlignment="1" applyProtection="1">
      <alignment vertical="center" wrapText="1"/>
      <protection hidden="1"/>
    </xf>
    <xf numFmtId="0" fontId="8" fillId="2" borderId="1" xfId="0" applyFont="1" applyFill="1" applyBorder="1" applyAlignment="1" applyProtection="1">
      <alignment vertical="center" wrapText="1"/>
      <protection hidden="1"/>
    </xf>
    <xf numFmtId="0" fontId="8" fillId="2" borderId="1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5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1"/>
  <sheetViews>
    <sheetView view="pageBreakPreview" zoomScale="90" zoomScaleSheetLayoutView="90" workbookViewId="0">
      <selection activeCell="C29" sqref="C29"/>
    </sheetView>
  </sheetViews>
  <sheetFormatPr defaultColWidth="9.140625" defaultRowHeight="14.25" x14ac:dyDescent="0.2"/>
  <cols>
    <col min="1" max="1" width="10.140625" style="8" customWidth="1"/>
    <col min="2" max="2" width="7" style="18" customWidth="1"/>
    <col min="3" max="3" width="42.85546875" style="23" customWidth="1"/>
    <col min="4" max="4" width="4.28515625" style="39" bestFit="1" customWidth="1"/>
    <col min="5" max="6" width="9.28515625" style="8" bestFit="1" customWidth="1"/>
    <col min="7" max="7" width="7.7109375" style="8" bestFit="1" customWidth="1"/>
    <col min="8" max="8" width="11.85546875" style="8" customWidth="1"/>
    <col min="9" max="9" width="10.42578125" style="39" customWidth="1"/>
    <col min="10" max="10" width="9.140625" style="8"/>
    <col min="11" max="12" width="9.28515625" style="8" bestFit="1" customWidth="1"/>
    <col min="13" max="13" width="9.7109375" style="8" bestFit="1" customWidth="1"/>
    <col min="14" max="16384" width="9.140625" style="8"/>
  </cols>
  <sheetData>
    <row r="1" spans="1:18" ht="32.25" customHeight="1" x14ac:dyDescent="0.2">
      <c r="A1" s="26" t="s">
        <v>16</v>
      </c>
      <c r="B1" s="174" t="s">
        <v>23</v>
      </c>
      <c r="C1" s="175"/>
      <c r="D1" s="175"/>
      <c r="E1" s="175"/>
      <c r="F1" s="175"/>
      <c r="G1" s="175"/>
      <c r="H1" s="175"/>
      <c r="I1" s="176"/>
    </row>
    <row r="2" spans="1:18" ht="24.75" customHeight="1" x14ac:dyDescent="0.2">
      <c r="A2" s="26" t="s">
        <v>17</v>
      </c>
      <c r="B2" s="168" t="s">
        <v>26</v>
      </c>
      <c r="C2" s="169"/>
      <c r="D2" s="169"/>
      <c r="E2" s="169"/>
      <c r="F2" s="169"/>
      <c r="G2" s="169"/>
      <c r="H2" s="169"/>
      <c r="I2" s="170"/>
    </row>
    <row r="3" spans="1:18" ht="24.75" customHeight="1" x14ac:dyDescent="0.2">
      <c r="A3" s="27" t="s">
        <v>31</v>
      </c>
      <c r="B3" s="168" t="s">
        <v>33</v>
      </c>
      <c r="C3" s="169"/>
      <c r="D3" s="169"/>
      <c r="E3" s="169"/>
      <c r="F3" s="169"/>
      <c r="G3" s="169"/>
      <c r="H3" s="169"/>
      <c r="I3" s="170"/>
    </row>
    <row r="4" spans="1:18" ht="24" customHeight="1" x14ac:dyDescent="0.2">
      <c r="A4" s="27" t="s">
        <v>18</v>
      </c>
      <c r="B4" s="168" t="s">
        <v>28</v>
      </c>
      <c r="C4" s="169"/>
      <c r="D4" s="169"/>
      <c r="E4" s="169"/>
      <c r="F4" s="169"/>
      <c r="G4" s="169"/>
      <c r="H4" s="169"/>
      <c r="I4" s="170"/>
    </row>
    <row r="5" spans="1:18" ht="24.75" customHeight="1" x14ac:dyDescent="0.2">
      <c r="A5" s="27" t="s">
        <v>30</v>
      </c>
      <c r="B5" s="168" t="s">
        <v>29</v>
      </c>
      <c r="C5" s="169"/>
      <c r="D5" s="169"/>
      <c r="E5" s="169"/>
      <c r="F5" s="169"/>
      <c r="G5" s="169"/>
      <c r="H5" s="169"/>
      <c r="I5" s="170"/>
    </row>
    <row r="6" spans="1:18" ht="25.5" customHeight="1" x14ac:dyDescent="0.2">
      <c r="A6" s="27" t="s">
        <v>19</v>
      </c>
      <c r="B6" s="171" t="s">
        <v>36</v>
      </c>
      <c r="C6" s="172">
        <v>1</v>
      </c>
      <c r="D6" s="172"/>
      <c r="E6" s="172"/>
      <c r="F6" s="172"/>
      <c r="G6" s="172"/>
      <c r="H6" s="172"/>
      <c r="I6" s="173"/>
      <c r="L6" s="9"/>
    </row>
    <row r="7" spans="1:18" ht="24.95" customHeight="1" x14ac:dyDescent="0.2">
      <c r="A7" s="177" t="s">
        <v>20</v>
      </c>
      <c r="B7" s="177" t="s">
        <v>14</v>
      </c>
      <c r="C7" s="178" t="s">
        <v>4</v>
      </c>
      <c r="D7" s="182" t="s">
        <v>21</v>
      </c>
      <c r="E7" s="182"/>
      <c r="F7" s="182"/>
      <c r="G7" s="182"/>
      <c r="H7" s="182"/>
      <c r="I7" s="182" t="s">
        <v>8</v>
      </c>
      <c r="J7" s="10"/>
      <c r="K7" s="181"/>
      <c r="L7" s="181"/>
      <c r="M7" s="181"/>
      <c r="N7" s="181"/>
      <c r="O7" s="181"/>
      <c r="P7" s="181"/>
      <c r="Q7" s="181"/>
      <c r="R7" s="181"/>
    </row>
    <row r="8" spans="1:18" ht="31.5" customHeight="1" x14ac:dyDescent="0.2">
      <c r="A8" s="177"/>
      <c r="B8" s="177"/>
      <c r="C8" s="179"/>
      <c r="D8" s="28" t="s">
        <v>34</v>
      </c>
      <c r="E8" s="28" t="s">
        <v>0</v>
      </c>
      <c r="F8" s="28" t="s">
        <v>1</v>
      </c>
      <c r="G8" s="29" t="s">
        <v>2</v>
      </c>
      <c r="H8" s="28" t="s">
        <v>22</v>
      </c>
      <c r="I8" s="182"/>
      <c r="J8" s="10"/>
      <c r="K8" s="180"/>
      <c r="L8" s="180"/>
      <c r="M8" s="180"/>
      <c r="N8" s="180"/>
      <c r="O8" s="180"/>
      <c r="P8" s="180"/>
      <c r="Q8" s="180"/>
      <c r="R8" s="180"/>
    </row>
    <row r="9" spans="1:18" ht="32.25" customHeight="1" x14ac:dyDescent="0.2">
      <c r="A9" s="42"/>
      <c r="B9" s="40"/>
      <c r="C9" s="183"/>
      <c r="D9" s="184"/>
      <c r="E9" s="184"/>
      <c r="F9" s="184"/>
      <c r="G9" s="184"/>
      <c r="H9" s="184"/>
      <c r="I9" s="185"/>
      <c r="J9" s="10"/>
      <c r="K9" s="180"/>
      <c r="L9" s="180"/>
      <c r="M9" s="180"/>
      <c r="N9" s="180"/>
      <c r="O9" s="180"/>
      <c r="P9" s="180"/>
      <c r="Q9" s="180"/>
      <c r="R9" s="180"/>
    </row>
    <row r="10" spans="1:18" ht="22.5" customHeight="1" x14ac:dyDescent="0.2">
      <c r="A10" s="42"/>
      <c r="B10" s="40"/>
      <c r="C10" s="47"/>
      <c r="D10" s="24"/>
      <c r="E10" s="11"/>
      <c r="F10" s="11"/>
      <c r="G10" s="11"/>
      <c r="H10" s="12"/>
      <c r="I10" s="25"/>
      <c r="J10" s="10"/>
    </row>
    <row r="11" spans="1:18" ht="22.5" customHeight="1" x14ac:dyDescent="0.2">
      <c r="A11" s="42"/>
      <c r="B11" s="40"/>
      <c r="C11" s="47"/>
      <c r="D11" s="24"/>
      <c r="E11" s="11"/>
      <c r="F11" s="11"/>
      <c r="G11" s="11"/>
      <c r="H11" s="12"/>
      <c r="I11" s="25"/>
      <c r="J11" s="10"/>
    </row>
    <row r="12" spans="1:18" ht="22.5" customHeight="1" x14ac:dyDescent="0.2">
      <c r="A12" s="42"/>
      <c r="B12" s="40"/>
      <c r="C12" s="47"/>
      <c r="D12" s="24"/>
      <c r="E12" s="11"/>
      <c r="F12" s="11"/>
      <c r="G12" s="11"/>
      <c r="H12" s="12"/>
      <c r="I12" s="25"/>
      <c r="J12" s="10"/>
    </row>
    <row r="13" spans="1:18" ht="22.5" customHeight="1" x14ac:dyDescent="0.2">
      <c r="A13" s="42"/>
      <c r="B13" s="40"/>
      <c r="C13" s="47"/>
      <c r="D13" s="24"/>
      <c r="E13" s="11"/>
      <c r="F13" s="11"/>
      <c r="G13" s="11"/>
      <c r="H13" s="12"/>
      <c r="I13" s="25"/>
      <c r="J13" s="10"/>
    </row>
    <row r="14" spans="1:18" ht="22.5" customHeight="1" x14ac:dyDescent="0.2">
      <c r="A14" s="42"/>
      <c r="B14" s="40"/>
      <c r="C14" s="47"/>
      <c r="D14" s="24"/>
      <c r="E14" s="11"/>
      <c r="F14" s="11"/>
      <c r="G14" s="11"/>
      <c r="H14" s="12"/>
      <c r="I14" s="25"/>
      <c r="J14" s="10"/>
    </row>
    <row r="15" spans="1:18" ht="22.5" customHeight="1" x14ac:dyDescent="0.2">
      <c r="A15" s="42"/>
      <c r="B15" s="40"/>
      <c r="C15" s="47"/>
      <c r="D15" s="24"/>
      <c r="E15" s="11"/>
      <c r="F15" s="11"/>
      <c r="G15" s="11"/>
      <c r="H15" s="12"/>
      <c r="I15" s="25"/>
      <c r="J15" s="10"/>
    </row>
    <row r="16" spans="1:18" ht="22.5" customHeight="1" x14ac:dyDescent="0.2">
      <c r="A16" s="42"/>
      <c r="B16" s="40"/>
      <c r="C16" s="47"/>
      <c r="D16" s="24"/>
      <c r="E16" s="11"/>
      <c r="F16" s="11"/>
      <c r="G16" s="11"/>
      <c r="H16" s="12"/>
      <c r="I16" s="25"/>
      <c r="J16" s="10"/>
    </row>
    <row r="17" spans="1:10" ht="22.5" customHeight="1" x14ac:dyDescent="0.2">
      <c r="A17" s="42"/>
      <c r="B17" s="40"/>
      <c r="C17" s="47"/>
      <c r="D17" s="24"/>
      <c r="E17" s="11"/>
      <c r="F17" s="11"/>
      <c r="G17" s="11"/>
      <c r="H17" s="12"/>
      <c r="I17" s="25"/>
      <c r="J17" s="10"/>
    </row>
    <row r="18" spans="1:10" ht="22.5" customHeight="1" x14ac:dyDescent="0.2">
      <c r="A18" s="42"/>
      <c r="B18" s="40"/>
      <c r="C18" s="47"/>
      <c r="D18" s="24"/>
      <c r="E18" s="11"/>
      <c r="F18" s="11"/>
      <c r="G18" s="11"/>
      <c r="H18" s="12"/>
      <c r="I18" s="25"/>
      <c r="J18" s="10"/>
    </row>
    <row r="19" spans="1:10" ht="22.5" customHeight="1" x14ac:dyDescent="0.2">
      <c r="A19" s="42"/>
      <c r="B19" s="40"/>
      <c r="C19" s="47"/>
      <c r="D19" s="24"/>
      <c r="E19" s="11"/>
      <c r="F19" s="11"/>
      <c r="G19" s="11"/>
      <c r="H19" s="12"/>
      <c r="I19" s="25"/>
      <c r="J19" s="10"/>
    </row>
    <row r="20" spans="1:10" ht="22.5" customHeight="1" x14ac:dyDescent="0.2">
      <c r="A20" s="42"/>
      <c r="B20" s="40"/>
      <c r="C20" s="47"/>
      <c r="D20" s="24"/>
      <c r="E20" s="11"/>
      <c r="F20" s="11"/>
      <c r="G20" s="11"/>
      <c r="H20" s="12"/>
      <c r="I20" s="25"/>
      <c r="J20" s="10"/>
    </row>
    <row r="21" spans="1:10" ht="22.5" customHeight="1" x14ac:dyDescent="0.2">
      <c r="A21" s="42"/>
      <c r="B21" s="40"/>
      <c r="C21" s="47"/>
      <c r="D21" s="24"/>
      <c r="E21" s="11"/>
      <c r="F21" s="11"/>
      <c r="G21" s="11"/>
      <c r="H21" s="12"/>
      <c r="I21" s="25"/>
      <c r="J21" s="10"/>
    </row>
    <row r="22" spans="1:10" ht="22.5" customHeight="1" x14ac:dyDescent="0.2">
      <c r="A22" s="42"/>
      <c r="B22" s="40"/>
      <c r="C22" s="47"/>
      <c r="D22" s="24"/>
      <c r="E22" s="11"/>
      <c r="F22" s="11"/>
      <c r="G22" s="11"/>
      <c r="H22" s="12"/>
      <c r="I22" s="25"/>
      <c r="J22" s="10"/>
    </row>
    <row r="23" spans="1:10" ht="22.5" customHeight="1" x14ac:dyDescent="0.2">
      <c r="A23" s="42"/>
      <c r="B23" s="40"/>
      <c r="C23" s="47"/>
      <c r="D23" s="24"/>
      <c r="E23" s="11"/>
      <c r="F23" s="11"/>
      <c r="G23" s="11"/>
      <c r="H23" s="12"/>
      <c r="I23" s="25"/>
      <c r="J23" s="10"/>
    </row>
    <row r="24" spans="1:10" ht="22.5" customHeight="1" x14ac:dyDescent="0.2">
      <c r="A24" s="42"/>
      <c r="B24" s="40"/>
      <c r="C24" s="47"/>
      <c r="D24" s="24"/>
      <c r="E24" s="11"/>
      <c r="F24" s="11"/>
      <c r="G24" s="11"/>
      <c r="H24" s="12"/>
      <c r="I24" s="25"/>
      <c r="J24" s="10"/>
    </row>
    <row r="25" spans="1:10" ht="22.5" customHeight="1" x14ac:dyDescent="0.2">
      <c r="A25" s="42"/>
      <c r="B25" s="40"/>
      <c r="C25" s="47"/>
      <c r="D25" s="24"/>
      <c r="E25" s="11"/>
      <c r="F25" s="11"/>
      <c r="G25" s="11"/>
      <c r="H25" s="12"/>
      <c r="I25" s="25"/>
      <c r="J25" s="10"/>
    </row>
    <row r="26" spans="1:10" ht="22.5" customHeight="1" x14ac:dyDescent="0.2">
      <c r="A26" s="42"/>
      <c r="B26" s="40"/>
      <c r="C26" s="47"/>
      <c r="D26" s="24"/>
      <c r="E26" s="11"/>
      <c r="F26" s="11"/>
      <c r="G26" s="11"/>
      <c r="H26" s="12"/>
      <c r="I26" s="25"/>
      <c r="J26" s="10"/>
    </row>
    <row r="27" spans="1:10" ht="22.5" customHeight="1" x14ac:dyDescent="0.2">
      <c r="A27" s="42"/>
      <c r="B27" s="40"/>
      <c r="C27" s="47"/>
      <c r="D27" s="24"/>
      <c r="E27" s="11"/>
      <c r="F27" s="11"/>
      <c r="G27" s="11"/>
      <c r="H27" s="12"/>
      <c r="I27" s="25"/>
      <c r="J27" s="10"/>
    </row>
    <row r="28" spans="1:10" ht="22.5" customHeight="1" x14ac:dyDescent="0.2">
      <c r="A28" s="42"/>
      <c r="B28" s="40"/>
      <c r="C28" s="47"/>
      <c r="D28" s="24"/>
      <c r="E28" s="11"/>
      <c r="F28" s="11"/>
      <c r="G28" s="11"/>
      <c r="H28" s="12"/>
      <c r="I28" s="25"/>
      <c r="J28" s="10"/>
    </row>
    <row r="29" spans="1:10" ht="22.5" customHeight="1" x14ac:dyDescent="0.2">
      <c r="A29" s="42"/>
      <c r="B29" s="40"/>
      <c r="C29" s="47"/>
      <c r="D29" s="24"/>
      <c r="E29" s="11"/>
      <c r="F29" s="11"/>
      <c r="G29" s="11"/>
      <c r="H29" s="12"/>
      <c r="I29" s="25"/>
      <c r="J29" s="10"/>
    </row>
    <row r="30" spans="1:10" ht="22.5" customHeight="1" x14ac:dyDescent="0.2">
      <c r="A30" s="42"/>
      <c r="B30" s="40"/>
      <c r="C30" s="47"/>
      <c r="D30" s="24"/>
      <c r="E30" s="11"/>
      <c r="F30" s="11"/>
      <c r="G30" s="11"/>
      <c r="H30" s="12"/>
      <c r="I30" s="25"/>
      <c r="J30" s="10"/>
    </row>
    <row r="31" spans="1:10" ht="22.5" customHeight="1" x14ac:dyDescent="0.2">
      <c r="A31" s="42"/>
      <c r="B31" s="40"/>
      <c r="C31" s="47"/>
      <c r="D31" s="24"/>
      <c r="E31" s="11"/>
      <c r="F31" s="11"/>
      <c r="G31" s="11"/>
      <c r="H31" s="12"/>
      <c r="I31" s="25"/>
      <c r="J31" s="10"/>
    </row>
    <row r="32" spans="1:10" ht="22.5" customHeight="1" x14ac:dyDescent="0.2">
      <c r="A32" s="42"/>
      <c r="B32" s="40"/>
      <c r="C32" s="47"/>
      <c r="D32" s="24"/>
      <c r="E32" s="11"/>
      <c r="F32" s="11"/>
      <c r="G32" s="11"/>
      <c r="H32" s="12"/>
      <c r="I32" s="25"/>
      <c r="J32" s="10"/>
    </row>
    <row r="33" spans="1:10" ht="22.5" customHeight="1" x14ac:dyDescent="0.2">
      <c r="A33" s="42"/>
      <c r="B33" s="40"/>
      <c r="C33" s="47"/>
      <c r="D33" s="24"/>
      <c r="E33" s="11"/>
      <c r="F33" s="11"/>
      <c r="G33" s="11"/>
      <c r="H33" s="12"/>
      <c r="I33" s="25"/>
      <c r="J33" s="10"/>
    </row>
    <row r="34" spans="1:10" ht="22.5" customHeight="1" x14ac:dyDescent="0.2">
      <c r="A34" s="42"/>
      <c r="B34" s="40"/>
      <c r="C34" s="47"/>
      <c r="D34" s="24"/>
      <c r="E34" s="11"/>
      <c r="F34" s="11"/>
      <c r="G34" s="11"/>
      <c r="H34" s="12"/>
      <c r="I34" s="25"/>
      <c r="J34" s="10"/>
    </row>
    <row r="35" spans="1:10" ht="22.5" customHeight="1" x14ac:dyDescent="0.2">
      <c r="A35" s="42"/>
      <c r="B35" s="40"/>
      <c r="C35" s="47"/>
      <c r="D35" s="24"/>
      <c r="E35" s="11"/>
      <c r="F35" s="11"/>
      <c r="G35" s="11"/>
      <c r="H35" s="12"/>
      <c r="I35" s="25"/>
      <c r="J35" s="10"/>
    </row>
    <row r="36" spans="1:10" ht="22.5" customHeight="1" x14ac:dyDescent="0.2">
      <c r="A36" s="42"/>
      <c r="B36" s="40"/>
      <c r="C36" s="47"/>
      <c r="D36" s="24"/>
      <c r="E36" s="11"/>
      <c r="F36" s="11"/>
      <c r="G36" s="11"/>
      <c r="H36" s="12"/>
      <c r="I36" s="25"/>
      <c r="J36" s="10"/>
    </row>
    <row r="37" spans="1:10" ht="22.5" customHeight="1" x14ac:dyDescent="0.2">
      <c r="A37" s="42"/>
      <c r="B37" s="40"/>
      <c r="C37" s="47"/>
      <c r="D37" s="24"/>
      <c r="E37" s="11"/>
      <c r="F37" s="11"/>
      <c r="G37" s="11"/>
      <c r="H37" s="12"/>
      <c r="I37" s="25"/>
      <c r="J37" s="10"/>
    </row>
    <row r="38" spans="1:10" ht="22.5" customHeight="1" x14ac:dyDescent="0.2">
      <c r="A38" s="42"/>
      <c r="B38" s="40"/>
      <c r="C38" s="47"/>
      <c r="D38" s="24"/>
      <c r="E38" s="11"/>
      <c r="F38" s="11"/>
      <c r="G38" s="11"/>
      <c r="H38" s="12"/>
      <c r="I38" s="25"/>
      <c r="J38" s="10"/>
    </row>
    <row r="39" spans="1:10" ht="22.5" customHeight="1" x14ac:dyDescent="0.2">
      <c r="A39" s="42"/>
      <c r="B39" s="40"/>
      <c r="C39" s="47"/>
      <c r="D39" s="24"/>
      <c r="E39" s="11"/>
      <c r="F39" s="11"/>
      <c r="G39" s="11"/>
      <c r="H39" s="12"/>
      <c r="I39" s="25"/>
      <c r="J39" s="10"/>
    </row>
    <row r="40" spans="1:10" ht="22.5" customHeight="1" x14ac:dyDescent="0.2">
      <c r="A40" s="42"/>
      <c r="B40" s="40"/>
      <c r="C40" s="47"/>
      <c r="D40" s="24"/>
      <c r="E40" s="11"/>
      <c r="F40" s="11"/>
      <c r="G40" s="11"/>
      <c r="H40" s="12"/>
      <c r="I40" s="25"/>
      <c r="J40" s="10"/>
    </row>
    <row r="41" spans="1:10" ht="22.5" customHeight="1" x14ac:dyDescent="0.2">
      <c r="A41" s="42"/>
      <c r="B41" s="40"/>
      <c r="C41" s="47"/>
      <c r="D41" s="24"/>
      <c r="E41" s="11"/>
      <c r="F41" s="11"/>
      <c r="G41" s="11"/>
      <c r="H41" s="12"/>
      <c r="I41" s="25"/>
      <c r="J41" s="10"/>
    </row>
    <row r="42" spans="1:10" ht="22.5" customHeight="1" x14ac:dyDescent="0.2">
      <c r="A42" s="42"/>
      <c r="B42" s="40"/>
      <c r="C42" s="47"/>
      <c r="D42" s="24"/>
      <c r="E42" s="11"/>
      <c r="F42" s="11"/>
      <c r="G42" s="11"/>
      <c r="H42" s="12"/>
      <c r="I42" s="25"/>
      <c r="J42" s="10"/>
    </row>
    <row r="43" spans="1:10" ht="22.5" customHeight="1" x14ac:dyDescent="0.2">
      <c r="A43" s="42"/>
      <c r="B43" s="40"/>
      <c r="C43" s="47"/>
      <c r="D43" s="24"/>
      <c r="E43" s="11"/>
      <c r="F43" s="11"/>
      <c r="G43" s="11"/>
      <c r="H43" s="12"/>
      <c r="I43" s="25"/>
      <c r="J43" s="10"/>
    </row>
    <row r="44" spans="1:10" ht="22.5" customHeight="1" x14ac:dyDescent="0.2">
      <c r="A44" s="42"/>
      <c r="B44" s="40"/>
      <c r="C44" s="47"/>
      <c r="D44" s="24"/>
      <c r="E44" s="11"/>
      <c r="F44" s="11"/>
      <c r="G44" s="11"/>
      <c r="H44" s="12"/>
      <c r="I44" s="25"/>
      <c r="J44" s="10"/>
    </row>
    <row r="45" spans="1:10" ht="22.5" customHeight="1" x14ac:dyDescent="0.2">
      <c r="A45" s="42"/>
      <c r="B45" s="40"/>
      <c r="C45" s="47"/>
      <c r="D45" s="24"/>
      <c r="E45" s="11"/>
      <c r="F45" s="11"/>
      <c r="G45" s="11"/>
      <c r="H45" s="12"/>
      <c r="I45" s="25"/>
      <c r="J45" s="10"/>
    </row>
    <row r="46" spans="1:10" ht="22.5" customHeight="1" x14ac:dyDescent="0.2">
      <c r="A46" s="42"/>
      <c r="B46" s="40"/>
      <c r="C46" s="47"/>
      <c r="D46" s="24"/>
      <c r="E46" s="11"/>
      <c r="F46" s="11"/>
      <c r="G46" s="11"/>
      <c r="H46" s="12"/>
      <c r="I46" s="25"/>
      <c r="J46" s="10"/>
    </row>
    <row r="47" spans="1:10" ht="22.5" customHeight="1" x14ac:dyDescent="0.2">
      <c r="A47" s="42"/>
      <c r="B47" s="40"/>
      <c r="C47" s="47"/>
      <c r="D47" s="24"/>
      <c r="E47" s="11"/>
      <c r="F47" s="11"/>
      <c r="G47" s="11"/>
      <c r="H47" s="12"/>
      <c r="I47" s="25"/>
      <c r="J47" s="10"/>
    </row>
    <row r="48" spans="1:10" ht="22.5" customHeight="1" x14ac:dyDescent="0.2">
      <c r="A48" s="42"/>
      <c r="B48" s="40"/>
      <c r="C48" s="47"/>
      <c r="D48" s="24"/>
      <c r="E48" s="11"/>
      <c r="F48" s="11"/>
      <c r="G48" s="11"/>
      <c r="H48" s="12"/>
      <c r="I48" s="25"/>
      <c r="J48" s="10"/>
    </row>
    <row r="49" spans="1:10" ht="22.5" customHeight="1" x14ac:dyDescent="0.2">
      <c r="A49" s="42"/>
      <c r="B49" s="40"/>
      <c r="C49" s="47"/>
      <c r="D49" s="24"/>
      <c r="E49" s="11"/>
      <c r="F49" s="11"/>
      <c r="G49" s="11"/>
      <c r="H49" s="12"/>
      <c r="I49" s="25"/>
      <c r="J49" s="10"/>
    </row>
    <row r="50" spans="1:10" ht="22.5" customHeight="1" x14ac:dyDescent="0.2">
      <c r="A50" s="42"/>
      <c r="B50" s="40"/>
      <c r="C50" s="47"/>
      <c r="D50" s="24"/>
      <c r="E50" s="11"/>
      <c r="F50" s="11"/>
      <c r="G50" s="11"/>
      <c r="H50" s="12"/>
      <c r="I50" s="25"/>
      <c r="J50" s="10"/>
    </row>
    <row r="51" spans="1:10" ht="22.5" customHeight="1" x14ac:dyDescent="0.2">
      <c r="A51" s="42"/>
      <c r="B51" s="40"/>
      <c r="C51" s="47"/>
      <c r="D51" s="24"/>
      <c r="E51" s="11"/>
      <c r="F51" s="11"/>
      <c r="G51" s="11"/>
      <c r="H51" s="12"/>
      <c r="I51" s="25"/>
      <c r="J51" s="10"/>
    </row>
    <row r="52" spans="1:10" ht="22.5" customHeight="1" x14ac:dyDescent="0.2">
      <c r="A52" s="42"/>
      <c r="B52" s="40"/>
      <c r="C52" s="47"/>
      <c r="D52" s="24"/>
      <c r="E52" s="11"/>
      <c r="F52" s="11"/>
      <c r="G52" s="11"/>
      <c r="H52" s="12"/>
      <c r="I52" s="25"/>
      <c r="J52" s="10"/>
    </row>
    <row r="53" spans="1:10" ht="22.5" customHeight="1" x14ac:dyDescent="0.2">
      <c r="A53" s="43"/>
      <c r="B53" s="41"/>
      <c r="C53" s="21"/>
      <c r="D53" s="45"/>
      <c r="E53" s="32"/>
      <c r="F53" s="32"/>
      <c r="G53" s="32"/>
      <c r="H53" s="32"/>
      <c r="I53" s="36"/>
    </row>
    <row r="54" spans="1:10" ht="22.5" customHeight="1" x14ac:dyDescent="0.2">
      <c r="A54" s="43"/>
      <c r="B54" s="41"/>
      <c r="C54" s="21"/>
      <c r="D54" s="45"/>
      <c r="E54" s="32"/>
      <c r="F54" s="32"/>
      <c r="G54" s="32"/>
      <c r="H54" s="32"/>
      <c r="I54" s="36"/>
    </row>
    <row r="55" spans="1:10" ht="22.5" customHeight="1" x14ac:dyDescent="0.2">
      <c r="A55" s="43"/>
      <c r="B55" s="41"/>
      <c r="C55" s="21"/>
      <c r="D55" s="45"/>
      <c r="E55" s="32"/>
      <c r="F55" s="32"/>
      <c r="G55" s="32"/>
      <c r="H55" s="32"/>
      <c r="I55" s="36"/>
    </row>
    <row r="56" spans="1:10" ht="22.5" customHeight="1" x14ac:dyDescent="0.2">
      <c r="A56" s="43"/>
      <c r="B56" s="41"/>
      <c r="C56" s="21"/>
      <c r="D56" s="45"/>
      <c r="E56" s="32"/>
      <c r="F56" s="32"/>
      <c r="G56" s="32"/>
      <c r="H56" s="32"/>
      <c r="I56" s="36"/>
    </row>
    <row r="57" spans="1:10" x14ac:dyDescent="0.2">
      <c r="A57" s="44"/>
      <c r="B57" s="15"/>
      <c r="C57" s="19"/>
      <c r="D57" s="46"/>
      <c r="E57" s="33"/>
      <c r="F57" s="33"/>
      <c r="G57" s="33"/>
      <c r="H57" s="33"/>
      <c r="I57" s="37"/>
    </row>
    <row r="58" spans="1:10" x14ac:dyDescent="0.2">
      <c r="A58" s="44"/>
      <c r="B58" s="15"/>
      <c r="C58" s="19"/>
      <c r="D58" s="46"/>
      <c r="E58" s="33"/>
      <c r="F58" s="33"/>
      <c r="G58" s="33"/>
      <c r="H58" s="33"/>
      <c r="I58" s="37"/>
    </row>
    <row r="59" spans="1:10" x14ac:dyDescent="0.2">
      <c r="A59" s="44"/>
      <c r="B59" s="15"/>
      <c r="C59" s="19"/>
      <c r="D59" s="46"/>
      <c r="E59" s="33"/>
      <c r="F59" s="33"/>
      <c r="G59" s="33"/>
      <c r="H59" s="33"/>
      <c r="I59" s="37"/>
    </row>
    <row r="60" spans="1:10" x14ac:dyDescent="0.2">
      <c r="A60" s="44"/>
      <c r="B60" s="15"/>
      <c r="C60" s="19"/>
      <c r="D60" s="46"/>
      <c r="E60" s="33"/>
      <c r="F60" s="33"/>
      <c r="G60" s="33"/>
      <c r="H60" s="33"/>
      <c r="I60" s="37"/>
    </row>
    <row r="61" spans="1:10" x14ac:dyDescent="0.2">
      <c r="A61" s="44"/>
      <c r="B61" s="15"/>
      <c r="C61" s="19"/>
      <c r="D61" s="46"/>
      <c r="E61" s="33"/>
      <c r="F61" s="33"/>
      <c r="G61" s="33"/>
      <c r="H61" s="33"/>
      <c r="I61" s="37"/>
    </row>
    <row r="62" spans="1:10" x14ac:dyDescent="0.2">
      <c r="A62" s="44"/>
      <c r="B62" s="15"/>
      <c r="C62" s="19"/>
      <c r="D62" s="46"/>
      <c r="E62" s="33"/>
      <c r="F62" s="33"/>
      <c r="G62" s="33"/>
      <c r="H62" s="33"/>
      <c r="I62" s="37"/>
    </row>
    <row r="63" spans="1:10" x14ac:dyDescent="0.2">
      <c r="A63" s="44"/>
      <c r="B63" s="15"/>
      <c r="C63" s="19"/>
      <c r="D63" s="46"/>
      <c r="E63" s="33"/>
      <c r="F63" s="33"/>
      <c r="G63" s="33"/>
      <c r="H63" s="33"/>
      <c r="I63" s="37"/>
    </row>
    <row r="64" spans="1:10" x14ac:dyDescent="0.2">
      <c r="A64" s="44"/>
      <c r="B64" s="15"/>
      <c r="C64" s="19"/>
      <c r="D64" s="46"/>
      <c r="E64" s="33"/>
      <c r="F64" s="33"/>
      <c r="G64" s="33"/>
      <c r="H64" s="33"/>
      <c r="I64" s="37"/>
    </row>
    <row r="65" spans="1:9" x14ac:dyDescent="0.2">
      <c r="A65" s="44"/>
      <c r="B65" s="15"/>
      <c r="C65" s="19"/>
      <c r="D65" s="46"/>
      <c r="E65" s="33"/>
      <c r="F65" s="33"/>
      <c r="G65" s="33"/>
      <c r="H65" s="33"/>
      <c r="I65" s="37"/>
    </row>
    <row r="66" spans="1:9" x14ac:dyDescent="0.2">
      <c r="A66" s="44"/>
      <c r="B66" s="15"/>
      <c r="C66" s="19"/>
      <c r="D66" s="46"/>
      <c r="E66" s="33"/>
      <c r="F66" s="33"/>
      <c r="G66" s="33"/>
      <c r="H66" s="33"/>
      <c r="I66" s="37"/>
    </row>
    <row r="67" spans="1:9" x14ac:dyDescent="0.2">
      <c r="A67" s="44"/>
      <c r="B67" s="15"/>
      <c r="C67" s="19"/>
      <c r="D67" s="46"/>
      <c r="E67" s="33"/>
      <c r="F67" s="33"/>
      <c r="G67" s="33"/>
      <c r="H67" s="33"/>
      <c r="I67" s="37"/>
    </row>
    <row r="68" spans="1:9" x14ac:dyDescent="0.2">
      <c r="A68" s="44"/>
      <c r="B68" s="15"/>
      <c r="C68" s="19"/>
      <c r="D68" s="46"/>
      <c r="E68" s="33"/>
      <c r="F68" s="33"/>
      <c r="G68" s="33"/>
      <c r="H68" s="33"/>
      <c r="I68" s="37"/>
    </row>
    <row r="69" spans="1:9" x14ac:dyDescent="0.2">
      <c r="A69" s="44"/>
      <c r="B69" s="15"/>
      <c r="C69" s="19"/>
      <c r="D69" s="46"/>
      <c r="E69" s="33"/>
      <c r="F69" s="33"/>
      <c r="G69" s="33"/>
      <c r="H69" s="33"/>
      <c r="I69" s="37"/>
    </row>
    <row r="70" spans="1:9" x14ac:dyDescent="0.2">
      <c r="A70" s="44"/>
      <c r="B70" s="15"/>
      <c r="C70" s="19"/>
      <c r="D70" s="46"/>
      <c r="E70" s="33"/>
      <c r="F70" s="33"/>
      <c r="G70" s="33"/>
      <c r="H70" s="33"/>
      <c r="I70" s="37"/>
    </row>
    <row r="71" spans="1:9" x14ac:dyDescent="0.2">
      <c r="A71" s="44"/>
      <c r="B71" s="15"/>
      <c r="C71" s="19"/>
      <c r="D71" s="46"/>
      <c r="E71" s="33"/>
      <c r="F71" s="33"/>
      <c r="G71" s="33"/>
      <c r="H71" s="33"/>
      <c r="I71" s="37"/>
    </row>
    <row r="72" spans="1:9" x14ac:dyDescent="0.2">
      <c r="A72" s="44"/>
      <c r="B72" s="15"/>
      <c r="C72" s="19"/>
      <c r="D72" s="46"/>
      <c r="E72" s="33"/>
      <c r="F72" s="33"/>
      <c r="G72" s="33"/>
      <c r="H72" s="33"/>
      <c r="I72" s="37"/>
    </row>
    <row r="73" spans="1:9" x14ac:dyDescent="0.2">
      <c r="A73" s="44"/>
      <c r="B73" s="15"/>
      <c r="C73" s="19"/>
      <c r="D73" s="46"/>
      <c r="E73" s="33"/>
      <c r="F73" s="33"/>
      <c r="G73" s="33"/>
      <c r="H73" s="33"/>
      <c r="I73" s="37"/>
    </row>
    <row r="74" spans="1:9" x14ac:dyDescent="0.2">
      <c r="A74" s="44"/>
      <c r="B74" s="15"/>
      <c r="C74" s="19"/>
      <c r="D74" s="46"/>
      <c r="E74" s="33"/>
      <c r="F74" s="33"/>
      <c r="G74" s="33"/>
      <c r="H74" s="33"/>
      <c r="I74" s="37"/>
    </row>
    <row r="75" spans="1:9" x14ac:dyDescent="0.2">
      <c r="A75" s="44"/>
      <c r="B75" s="15"/>
      <c r="C75" s="19"/>
      <c r="D75" s="46"/>
      <c r="E75" s="33"/>
      <c r="F75" s="33"/>
      <c r="G75" s="33"/>
      <c r="H75" s="33"/>
      <c r="I75" s="37"/>
    </row>
    <row r="76" spans="1:9" x14ac:dyDescent="0.2">
      <c r="A76" s="44"/>
      <c r="B76" s="15"/>
      <c r="C76" s="19"/>
      <c r="D76" s="46"/>
      <c r="E76" s="33"/>
      <c r="F76" s="33"/>
      <c r="G76" s="33"/>
      <c r="H76" s="33"/>
      <c r="I76" s="37"/>
    </row>
    <row r="77" spans="1:9" x14ac:dyDescent="0.2">
      <c r="A77" s="44"/>
      <c r="B77" s="15"/>
      <c r="C77" s="19"/>
      <c r="D77" s="46"/>
      <c r="E77" s="33"/>
      <c r="F77" s="33"/>
      <c r="G77" s="33"/>
      <c r="H77" s="33"/>
      <c r="I77" s="37"/>
    </row>
    <row r="78" spans="1:9" x14ac:dyDescent="0.2">
      <c r="A78" s="44"/>
      <c r="B78" s="15"/>
      <c r="C78" s="19"/>
      <c r="D78" s="46"/>
      <c r="E78" s="33"/>
      <c r="F78" s="33"/>
      <c r="G78" s="33"/>
      <c r="H78" s="33"/>
      <c r="I78" s="37"/>
    </row>
    <row r="79" spans="1:9" x14ac:dyDescent="0.2">
      <c r="A79" s="44"/>
      <c r="B79" s="15"/>
      <c r="C79" s="19"/>
      <c r="D79" s="46"/>
      <c r="E79" s="33"/>
      <c r="F79" s="33"/>
      <c r="G79" s="33"/>
      <c r="H79" s="33"/>
      <c r="I79" s="37"/>
    </row>
    <row r="80" spans="1:9" x14ac:dyDescent="0.2">
      <c r="A80" s="44"/>
      <c r="B80" s="15"/>
      <c r="C80" s="19"/>
      <c r="D80" s="46"/>
      <c r="E80" s="33"/>
      <c r="F80" s="33"/>
      <c r="G80" s="33"/>
      <c r="H80" s="33"/>
      <c r="I80" s="37"/>
    </row>
    <row r="81" spans="1:9" x14ac:dyDescent="0.2">
      <c r="A81" s="44"/>
      <c r="B81" s="15"/>
      <c r="C81" s="19"/>
      <c r="D81" s="46"/>
      <c r="E81" s="33"/>
      <c r="F81" s="33"/>
      <c r="G81" s="33"/>
      <c r="H81" s="33"/>
      <c r="I81" s="37"/>
    </row>
    <row r="82" spans="1:9" x14ac:dyDescent="0.2">
      <c r="A82" s="44"/>
      <c r="B82" s="15"/>
      <c r="C82" s="19"/>
      <c r="D82" s="46"/>
      <c r="E82" s="33"/>
      <c r="F82" s="33"/>
      <c r="G82" s="33"/>
      <c r="H82" s="33"/>
      <c r="I82" s="37"/>
    </row>
    <row r="83" spans="1:9" x14ac:dyDescent="0.2">
      <c r="A83" s="44"/>
      <c r="B83" s="15"/>
      <c r="C83" s="19"/>
      <c r="D83" s="46"/>
      <c r="E83" s="33"/>
      <c r="F83" s="33"/>
      <c r="G83" s="33"/>
      <c r="H83" s="33"/>
      <c r="I83" s="37"/>
    </row>
    <row r="84" spans="1:9" x14ac:dyDescent="0.2">
      <c r="A84" s="14"/>
      <c r="B84" s="15"/>
      <c r="C84" s="19"/>
      <c r="D84" s="46"/>
      <c r="E84" s="33"/>
      <c r="F84" s="33"/>
      <c r="G84" s="33"/>
      <c r="H84" s="33"/>
      <c r="I84" s="37"/>
    </row>
    <row r="85" spans="1:9" x14ac:dyDescent="0.2">
      <c r="A85" s="14"/>
      <c r="B85" s="15"/>
      <c r="C85" s="19"/>
      <c r="D85" s="46"/>
      <c r="E85" s="33"/>
      <c r="F85" s="33"/>
      <c r="G85" s="33"/>
      <c r="H85" s="33"/>
      <c r="I85" s="37"/>
    </row>
    <row r="86" spans="1:9" x14ac:dyDescent="0.2">
      <c r="A86" s="14"/>
      <c r="B86" s="15"/>
      <c r="C86" s="19"/>
      <c r="D86" s="46"/>
      <c r="E86" s="33"/>
      <c r="F86" s="33"/>
      <c r="G86" s="33"/>
      <c r="H86" s="33"/>
      <c r="I86" s="37"/>
    </row>
    <row r="87" spans="1:9" x14ac:dyDescent="0.2">
      <c r="A87" s="14"/>
      <c r="B87" s="15"/>
      <c r="C87" s="19"/>
      <c r="D87" s="46"/>
      <c r="E87" s="33"/>
      <c r="F87" s="33"/>
      <c r="G87" s="33"/>
      <c r="H87" s="33"/>
      <c r="I87" s="37"/>
    </row>
    <row r="88" spans="1:9" x14ac:dyDescent="0.2">
      <c r="A88" s="14"/>
      <c r="B88" s="15"/>
      <c r="C88" s="19"/>
      <c r="D88" s="46"/>
      <c r="E88" s="33"/>
      <c r="F88" s="33"/>
      <c r="G88" s="33"/>
      <c r="H88" s="33"/>
      <c r="I88" s="37"/>
    </row>
    <row r="89" spans="1:9" x14ac:dyDescent="0.2">
      <c r="A89" s="14"/>
      <c r="B89" s="15"/>
      <c r="C89" s="19"/>
      <c r="D89" s="46"/>
      <c r="E89" s="33"/>
      <c r="F89" s="33"/>
      <c r="G89" s="33"/>
      <c r="H89" s="33"/>
      <c r="I89" s="37"/>
    </row>
    <row r="90" spans="1:9" x14ac:dyDescent="0.2">
      <c r="A90" s="14"/>
      <c r="B90" s="15"/>
      <c r="C90" s="19"/>
      <c r="D90" s="46"/>
      <c r="E90" s="33"/>
      <c r="F90" s="33"/>
      <c r="G90" s="33"/>
      <c r="H90" s="33"/>
      <c r="I90" s="37"/>
    </row>
    <row r="91" spans="1:9" x14ac:dyDescent="0.2">
      <c r="A91" s="16"/>
      <c r="B91" s="17"/>
      <c r="C91" s="22"/>
      <c r="D91" s="38"/>
      <c r="E91" s="16"/>
      <c r="F91" s="16"/>
      <c r="G91" s="16"/>
      <c r="H91" s="16"/>
      <c r="I91" s="38"/>
    </row>
    <row r="92" spans="1:9" x14ac:dyDescent="0.2">
      <c r="A92" s="16"/>
      <c r="B92" s="17"/>
      <c r="C92" s="22"/>
      <c r="D92" s="38"/>
      <c r="E92" s="16"/>
      <c r="F92" s="16"/>
      <c r="G92" s="16"/>
      <c r="H92" s="16"/>
      <c r="I92" s="38"/>
    </row>
    <row r="93" spans="1:9" x14ac:dyDescent="0.2">
      <c r="A93" s="16"/>
      <c r="B93" s="17"/>
      <c r="C93" s="22"/>
      <c r="D93" s="38"/>
      <c r="E93" s="16"/>
      <c r="F93" s="16"/>
      <c r="G93" s="16"/>
      <c r="H93" s="16"/>
      <c r="I93" s="38"/>
    </row>
    <row r="94" spans="1:9" x14ac:dyDescent="0.2">
      <c r="A94" s="16"/>
      <c r="B94" s="17"/>
      <c r="C94" s="22"/>
      <c r="D94" s="38"/>
      <c r="E94" s="16"/>
      <c r="F94" s="16"/>
      <c r="G94" s="16"/>
      <c r="H94" s="16"/>
      <c r="I94" s="38"/>
    </row>
    <row r="95" spans="1:9" x14ac:dyDescent="0.2">
      <c r="A95" s="16"/>
      <c r="B95" s="17"/>
      <c r="C95" s="22"/>
      <c r="D95" s="38"/>
      <c r="E95" s="16"/>
      <c r="F95" s="16"/>
      <c r="G95" s="16"/>
      <c r="H95" s="16"/>
      <c r="I95" s="38"/>
    </row>
    <row r="96" spans="1:9" x14ac:dyDescent="0.2">
      <c r="A96" s="16"/>
      <c r="B96" s="17"/>
      <c r="C96" s="22"/>
      <c r="D96" s="38"/>
      <c r="E96" s="16"/>
      <c r="F96" s="16"/>
      <c r="G96" s="16"/>
      <c r="H96" s="16"/>
      <c r="I96" s="38"/>
    </row>
    <row r="97" spans="1:9" x14ac:dyDescent="0.2">
      <c r="A97" s="16"/>
      <c r="B97" s="17"/>
      <c r="C97" s="22"/>
      <c r="D97" s="38"/>
      <c r="E97" s="16"/>
      <c r="F97" s="16"/>
      <c r="G97" s="16"/>
      <c r="H97" s="16"/>
      <c r="I97" s="38"/>
    </row>
    <row r="98" spans="1:9" x14ac:dyDescent="0.2">
      <c r="A98" s="16"/>
      <c r="B98" s="17"/>
      <c r="C98" s="22"/>
      <c r="D98" s="38"/>
      <c r="E98" s="16"/>
      <c r="F98" s="16"/>
      <c r="G98" s="16"/>
      <c r="H98" s="16"/>
      <c r="I98" s="38"/>
    </row>
    <row r="99" spans="1:9" x14ac:dyDescent="0.2">
      <c r="A99" s="16"/>
      <c r="B99" s="17"/>
      <c r="C99" s="22"/>
      <c r="D99" s="38"/>
      <c r="E99" s="16"/>
      <c r="F99" s="16"/>
      <c r="G99" s="16"/>
      <c r="H99" s="16"/>
      <c r="I99" s="38"/>
    </row>
    <row r="100" spans="1:9" x14ac:dyDescent="0.2">
      <c r="A100" s="16"/>
      <c r="B100" s="17"/>
      <c r="C100" s="22"/>
      <c r="D100" s="38"/>
      <c r="E100" s="16"/>
      <c r="F100" s="16"/>
      <c r="G100" s="16"/>
      <c r="H100" s="16"/>
      <c r="I100" s="38"/>
    </row>
    <row r="101" spans="1:9" x14ac:dyDescent="0.2">
      <c r="A101" s="16"/>
      <c r="B101" s="17"/>
      <c r="C101" s="22"/>
      <c r="D101" s="38"/>
      <c r="E101" s="16"/>
      <c r="F101" s="16"/>
      <c r="G101" s="16"/>
      <c r="H101" s="16"/>
      <c r="I101" s="38"/>
    </row>
    <row r="102" spans="1:9" x14ac:dyDescent="0.2">
      <c r="A102" s="16"/>
      <c r="B102" s="17"/>
      <c r="C102" s="22"/>
      <c r="D102" s="38"/>
      <c r="E102" s="16"/>
      <c r="F102" s="16"/>
      <c r="G102" s="16"/>
      <c r="H102" s="16"/>
      <c r="I102" s="38"/>
    </row>
    <row r="103" spans="1:9" x14ac:dyDescent="0.2">
      <c r="A103" s="16"/>
      <c r="B103" s="17"/>
      <c r="C103" s="22"/>
      <c r="D103" s="38"/>
      <c r="E103" s="16"/>
      <c r="F103" s="16"/>
      <c r="G103" s="16"/>
      <c r="H103" s="16"/>
      <c r="I103" s="38"/>
    </row>
    <row r="104" spans="1:9" x14ac:dyDescent="0.2">
      <c r="A104" s="16"/>
      <c r="B104" s="17"/>
      <c r="C104" s="22"/>
      <c r="D104" s="38"/>
      <c r="E104" s="16"/>
      <c r="F104" s="16"/>
      <c r="G104" s="16"/>
      <c r="H104" s="16"/>
      <c r="I104" s="38"/>
    </row>
    <row r="105" spans="1:9" x14ac:dyDescent="0.2">
      <c r="A105" s="16"/>
      <c r="B105" s="17"/>
      <c r="C105" s="22"/>
      <c r="D105" s="38"/>
      <c r="E105" s="16"/>
      <c r="F105" s="16"/>
      <c r="G105" s="16"/>
      <c r="H105" s="16"/>
      <c r="I105" s="38"/>
    </row>
    <row r="106" spans="1:9" x14ac:dyDescent="0.2">
      <c r="A106" s="16"/>
      <c r="B106" s="17"/>
      <c r="C106" s="22"/>
      <c r="D106" s="38"/>
      <c r="E106" s="16"/>
      <c r="F106" s="16"/>
      <c r="G106" s="16"/>
      <c r="H106" s="16"/>
      <c r="I106" s="38"/>
    </row>
    <row r="107" spans="1:9" x14ac:dyDescent="0.2">
      <c r="A107" s="16"/>
      <c r="B107" s="17"/>
      <c r="C107" s="22"/>
      <c r="D107" s="38"/>
      <c r="E107" s="16"/>
      <c r="F107" s="16"/>
      <c r="G107" s="16"/>
      <c r="H107" s="16"/>
      <c r="I107" s="38"/>
    </row>
    <row r="108" spans="1:9" x14ac:dyDescent="0.2">
      <c r="A108" s="16"/>
      <c r="B108" s="17"/>
      <c r="C108" s="22"/>
      <c r="D108" s="38"/>
      <c r="E108" s="16"/>
      <c r="F108" s="16"/>
      <c r="G108" s="16"/>
      <c r="H108" s="16"/>
      <c r="I108" s="38"/>
    </row>
    <row r="109" spans="1:9" x14ac:dyDescent="0.2">
      <c r="A109" s="16"/>
      <c r="B109" s="17"/>
      <c r="C109" s="22"/>
      <c r="D109" s="38"/>
      <c r="E109" s="16"/>
      <c r="F109" s="16"/>
      <c r="G109" s="16"/>
      <c r="H109" s="16"/>
      <c r="I109" s="38"/>
    </row>
    <row r="110" spans="1:9" x14ac:dyDescent="0.2">
      <c r="A110" s="16"/>
      <c r="B110" s="17"/>
      <c r="C110" s="22"/>
      <c r="D110" s="38"/>
      <c r="E110" s="16"/>
      <c r="F110" s="16"/>
      <c r="G110" s="16"/>
      <c r="H110" s="16"/>
      <c r="I110" s="38"/>
    </row>
    <row r="111" spans="1:9" x14ac:dyDescent="0.2">
      <c r="A111" s="16"/>
      <c r="B111" s="17"/>
      <c r="C111" s="22"/>
      <c r="D111" s="38"/>
      <c r="E111" s="16"/>
      <c r="F111" s="16"/>
      <c r="G111" s="16"/>
      <c r="H111" s="16"/>
      <c r="I111" s="38"/>
    </row>
    <row r="112" spans="1:9" x14ac:dyDescent="0.2">
      <c r="A112" s="16"/>
      <c r="B112" s="17"/>
      <c r="C112" s="22"/>
      <c r="D112" s="38"/>
      <c r="E112" s="16"/>
      <c r="F112" s="16"/>
      <c r="G112" s="16"/>
      <c r="H112" s="16"/>
      <c r="I112" s="38"/>
    </row>
    <row r="113" spans="1:9" x14ac:dyDescent="0.2">
      <c r="A113" s="16"/>
      <c r="B113" s="17"/>
      <c r="C113" s="22"/>
      <c r="D113" s="38"/>
      <c r="E113" s="16"/>
      <c r="F113" s="16"/>
      <c r="G113" s="16"/>
      <c r="H113" s="16"/>
      <c r="I113" s="38"/>
    </row>
    <row r="114" spans="1:9" x14ac:dyDescent="0.2">
      <c r="A114" s="16"/>
      <c r="B114" s="17"/>
      <c r="C114" s="22"/>
      <c r="D114" s="38"/>
      <c r="E114" s="16"/>
      <c r="F114" s="16"/>
      <c r="G114" s="16"/>
      <c r="H114" s="16"/>
      <c r="I114" s="38"/>
    </row>
    <row r="115" spans="1:9" x14ac:dyDescent="0.2">
      <c r="A115" s="16"/>
      <c r="B115" s="17"/>
      <c r="C115" s="22"/>
      <c r="D115" s="38"/>
      <c r="E115" s="16"/>
      <c r="F115" s="16"/>
      <c r="G115" s="16"/>
      <c r="H115" s="16"/>
      <c r="I115" s="38"/>
    </row>
    <row r="116" spans="1:9" x14ac:dyDescent="0.2">
      <c r="A116" s="16"/>
      <c r="B116" s="17"/>
      <c r="C116" s="22"/>
      <c r="D116" s="38"/>
      <c r="E116" s="16"/>
      <c r="F116" s="16"/>
      <c r="G116" s="16"/>
      <c r="H116" s="16"/>
      <c r="I116" s="38"/>
    </row>
    <row r="117" spans="1:9" x14ac:dyDescent="0.2">
      <c r="A117" s="16"/>
      <c r="B117" s="17"/>
      <c r="C117" s="22"/>
      <c r="D117" s="38"/>
      <c r="E117" s="16"/>
      <c r="F117" s="16"/>
      <c r="G117" s="16"/>
      <c r="H117" s="16"/>
      <c r="I117" s="38"/>
    </row>
    <row r="118" spans="1:9" x14ac:dyDescent="0.2">
      <c r="A118" s="16"/>
      <c r="B118" s="17"/>
      <c r="C118" s="22"/>
      <c r="D118" s="38"/>
      <c r="E118" s="16"/>
      <c r="F118" s="16"/>
      <c r="G118" s="16"/>
      <c r="H118" s="16"/>
      <c r="I118" s="38"/>
    </row>
    <row r="119" spans="1:9" x14ac:dyDescent="0.2">
      <c r="A119" s="16"/>
      <c r="B119" s="17"/>
      <c r="C119" s="22"/>
      <c r="D119" s="38"/>
      <c r="E119" s="16"/>
      <c r="F119" s="16"/>
      <c r="G119" s="16"/>
      <c r="H119" s="16"/>
      <c r="I119" s="38"/>
    </row>
    <row r="120" spans="1:9" x14ac:dyDescent="0.2">
      <c r="A120" s="16"/>
      <c r="B120" s="17"/>
      <c r="C120" s="22"/>
      <c r="D120" s="38"/>
      <c r="E120" s="16"/>
      <c r="F120" s="16"/>
      <c r="G120" s="16"/>
      <c r="H120" s="16"/>
      <c r="I120" s="38"/>
    </row>
    <row r="121" spans="1:9" x14ac:dyDescent="0.2">
      <c r="A121" s="16"/>
      <c r="B121" s="17"/>
      <c r="C121" s="22"/>
      <c r="D121" s="38"/>
      <c r="E121" s="16"/>
      <c r="F121" s="16"/>
      <c r="G121" s="16"/>
      <c r="H121" s="16"/>
      <c r="I121" s="38"/>
    </row>
    <row r="122" spans="1:9" x14ac:dyDescent="0.2">
      <c r="A122" s="16"/>
      <c r="B122" s="17"/>
      <c r="C122" s="22"/>
      <c r="D122" s="38"/>
      <c r="E122" s="16"/>
      <c r="F122" s="16"/>
      <c r="G122" s="16"/>
      <c r="H122" s="16"/>
      <c r="I122" s="38"/>
    </row>
    <row r="123" spans="1:9" x14ac:dyDescent="0.2">
      <c r="A123" s="16"/>
      <c r="B123" s="17"/>
      <c r="C123" s="22"/>
      <c r="D123" s="38"/>
      <c r="E123" s="16"/>
      <c r="F123" s="16"/>
      <c r="G123" s="16"/>
      <c r="H123" s="16"/>
      <c r="I123" s="38"/>
    </row>
    <row r="124" spans="1:9" x14ac:dyDescent="0.2">
      <c r="A124" s="16"/>
      <c r="B124" s="17"/>
      <c r="C124" s="22"/>
      <c r="D124" s="38"/>
      <c r="E124" s="16"/>
      <c r="F124" s="16"/>
      <c r="G124" s="16"/>
      <c r="H124" s="16"/>
      <c r="I124" s="38"/>
    </row>
    <row r="125" spans="1:9" x14ac:dyDescent="0.2">
      <c r="A125" s="16"/>
      <c r="B125" s="17"/>
      <c r="C125" s="22"/>
      <c r="D125" s="38"/>
      <c r="E125" s="16"/>
      <c r="F125" s="16"/>
      <c r="G125" s="16"/>
      <c r="H125" s="16"/>
      <c r="I125" s="38"/>
    </row>
    <row r="126" spans="1:9" x14ac:dyDescent="0.2">
      <c r="A126" s="16"/>
      <c r="B126" s="17"/>
      <c r="C126" s="22"/>
      <c r="D126" s="38"/>
      <c r="E126" s="16"/>
      <c r="F126" s="16"/>
      <c r="G126" s="16"/>
      <c r="H126" s="16"/>
      <c r="I126" s="38"/>
    </row>
    <row r="127" spans="1:9" x14ac:dyDescent="0.2">
      <c r="A127" s="16"/>
      <c r="B127" s="17"/>
      <c r="C127" s="22"/>
      <c r="D127" s="38"/>
      <c r="E127" s="16"/>
      <c r="F127" s="16"/>
      <c r="G127" s="16"/>
      <c r="H127" s="16"/>
      <c r="I127" s="38"/>
    </row>
    <row r="128" spans="1:9" x14ac:dyDescent="0.2">
      <c r="A128" s="16"/>
      <c r="B128" s="17"/>
      <c r="C128" s="22"/>
      <c r="D128" s="38"/>
      <c r="E128" s="16"/>
      <c r="F128" s="16"/>
      <c r="G128" s="16"/>
      <c r="H128" s="16"/>
      <c r="I128" s="38"/>
    </row>
    <row r="129" spans="1:9" x14ac:dyDescent="0.2">
      <c r="A129" s="16"/>
      <c r="B129" s="17"/>
      <c r="C129" s="22"/>
      <c r="D129" s="38"/>
      <c r="E129" s="16"/>
      <c r="F129" s="16"/>
      <c r="G129" s="16"/>
      <c r="H129" s="16"/>
      <c r="I129" s="38"/>
    </row>
    <row r="130" spans="1:9" x14ac:dyDescent="0.2">
      <c r="A130" s="16"/>
      <c r="B130" s="17"/>
      <c r="C130" s="22"/>
      <c r="D130" s="38"/>
      <c r="E130" s="16"/>
      <c r="F130" s="16"/>
      <c r="G130" s="16"/>
      <c r="H130" s="16"/>
      <c r="I130" s="38"/>
    </row>
    <row r="131" spans="1:9" x14ac:dyDescent="0.2">
      <c r="A131" s="16"/>
      <c r="B131" s="17"/>
      <c r="C131" s="22"/>
      <c r="D131" s="38"/>
      <c r="E131" s="16"/>
      <c r="F131" s="16"/>
      <c r="G131" s="16"/>
      <c r="H131" s="16"/>
      <c r="I131" s="38"/>
    </row>
    <row r="132" spans="1:9" x14ac:dyDescent="0.2">
      <c r="A132" s="16"/>
      <c r="B132" s="17"/>
      <c r="C132" s="22"/>
      <c r="D132" s="38"/>
      <c r="E132" s="16"/>
      <c r="F132" s="16"/>
      <c r="G132" s="16"/>
      <c r="H132" s="16"/>
      <c r="I132" s="38"/>
    </row>
    <row r="133" spans="1:9" x14ac:dyDescent="0.2">
      <c r="A133" s="16"/>
      <c r="B133" s="17"/>
      <c r="C133" s="22"/>
      <c r="D133" s="38"/>
      <c r="E133" s="16"/>
      <c r="F133" s="16"/>
      <c r="G133" s="16"/>
      <c r="H133" s="16"/>
      <c r="I133" s="38"/>
    </row>
    <row r="134" spans="1:9" x14ac:dyDescent="0.2">
      <c r="A134" s="16"/>
      <c r="B134" s="17"/>
      <c r="C134" s="22"/>
      <c r="D134" s="38"/>
      <c r="E134" s="16"/>
      <c r="F134" s="16"/>
      <c r="G134" s="16"/>
      <c r="H134" s="16"/>
      <c r="I134" s="38"/>
    </row>
    <row r="135" spans="1:9" x14ac:dyDescent="0.2">
      <c r="A135" s="16"/>
      <c r="B135" s="17"/>
      <c r="C135" s="22"/>
      <c r="D135" s="38"/>
      <c r="E135" s="16"/>
      <c r="F135" s="16"/>
      <c r="G135" s="16"/>
      <c r="H135" s="16"/>
      <c r="I135" s="38"/>
    </row>
    <row r="136" spans="1:9" x14ac:dyDescent="0.2">
      <c r="A136" s="16"/>
      <c r="B136" s="17"/>
      <c r="C136" s="22"/>
      <c r="D136" s="38"/>
      <c r="E136" s="16"/>
      <c r="F136" s="16"/>
      <c r="G136" s="16"/>
      <c r="H136" s="16"/>
      <c r="I136" s="38"/>
    </row>
    <row r="137" spans="1:9" x14ac:dyDescent="0.2">
      <c r="A137" s="16"/>
      <c r="B137" s="17"/>
      <c r="C137" s="22"/>
      <c r="D137" s="38"/>
      <c r="E137" s="16"/>
      <c r="F137" s="16"/>
      <c r="G137" s="16"/>
      <c r="H137" s="16"/>
      <c r="I137" s="38"/>
    </row>
    <row r="138" spans="1:9" x14ac:dyDescent="0.2">
      <c r="A138" s="16"/>
      <c r="B138" s="17"/>
      <c r="C138" s="22"/>
      <c r="D138" s="38"/>
      <c r="E138" s="16"/>
      <c r="F138" s="16"/>
      <c r="G138" s="16"/>
      <c r="H138" s="16"/>
      <c r="I138" s="38"/>
    </row>
    <row r="139" spans="1:9" x14ac:dyDescent="0.2">
      <c r="A139" s="16"/>
      <c r="B139" s="17"/>
      <c r="C139" s="22"/>
      <c r="D139" s="38"/>
      <c r="E139" s="16"/>
      <c r="F139" s="16"/>
      <c r="G139" s="16"/>
      <c r="H139" s="16"/>
      <c r="I139" s="38"/>
    </row>
    <row r="140" spans="1:9" x14ac:dyDescent="0.2">
      <c r="A140" s="16"/>
      <c r="B140" s="17"/>
      <c r="C140" s="22"/>
      <c r="D140" s="38"/>
      <c r="E140" s="16"/>
      <c r="F140" s="16"/>
      <c r="G140" s="16"/>
      <c r="H140" s="16"/>
      <c r="I140" s="38"/>
    </row>
    <row r="141" spans="1:9" x14ac:dyDescent="0.2">
      <c r="A141" s="16"/>
      <c r="B141" s="17"/>
      <c r="C141" s="22"/>
      <c r="D141" s="38"/>
      <c r="E141" s="16"/>
      <c r="F141" s="16"/>
      <c r="G141" s="16"/>
      <c r="H141" s="16"/>
      <c r="I141" s="38"/>
    </row>
    <row r="142" spans="1:9" x14ac:dyDescent="0.2">
      <c r="A142" s="16"/>
      <c r="B142" s="17"/>
      <c r="C142" s="22"/>
      <c r="D142" s="38"/>
      <c r="E142" s="16"/>
      <c r="F142" s="16"/>
      <c r="G142" s="16"/>
      <c r="H142" s="16"/>
      <c r="I142" s="38"/>
    </row>
    <row r="143" spans="1:9" x14ac:dyDescent="0.2">
      <c r="A143" s="16"/>
      <c r="B143" s="17"/>
      <c r="C143" s="22"/>
      <c r="D143" s="38"/>
      <c r="E143" s="16"/>
      <c r="F143" s="16"/>
      <c r="G143" s="16"/>
      <c r="H143" s="16"/>
      <c r="I143" s="38"/>
    </row>
    <row r="144" spans="1:9" x14ac:dyDescent="0.2">
      <c r="A144" s="16"/>
      <c r="B144" s="17"/>
      <c r="C144" s="22"/>
      <c r="D144" s="38"/>
      <c r="E144" s="16"/>
      <c r="F144" s="16"/>
      <c r="G144" s="16"/>
      <c r="H144" s="16"/>
      <c r="I144" s="38"/>
    </row>
    <row r="145" spans="1:9" x14ac:dyDescent="0.2">
      <c r="A145" s="16"/>
      <c r="B145" s="17"/>
      <c r="C145" s="22"/>
      <c r="D145" s="38"/>
      <c r="E145" s="16"/>
      <c r="F145" s="16"/>
      <c r="G145" s="16"/>
      <c r="H145" s="16"/>
      <c r="I145" s="38"/>
    </row>
    <row r="146" spans="1:9" x14ac:dyDescent="0.2">
      <c r="A146" s="16"/>
      <c r="B146" s="17"/>
      <c r="C146" s="22"/>
      <c r="D146" s="38"/>
      <c r="E146" s="16"/>
      <c r="F146" s="16"/>
      <c r="G146" s="16"/>
      <c r="H146" s="16"/>
      <c r="I146" s="38"/>
    </row>
    <row r="147" spans="1:9" x14ac:dyDescent="0.2">
      <c r="A147" s="16"/>
      <c r="B147" s="17"/>
      <c r="C147" s="22"/>
      <c r="D147" s="38"/>
      <c r="E147" s="16"/>
      <c r="F147" s="16"/>
      <c r="G147" s="16"/>
      <c r="H147" s="16"/>
      <c r="I147" s="38"/>
    </row>
    <row r="148" spans="1:9" x14ac:dyDescent="0.2">
      <c r="A148" s="16"/>
      <c r="B148" s="17"/>
      <c r="C148" s="22"/>
      <c r="D148" s="38"/>
      <c r="E148" s="16"/>
      <c r="F148" s="16"/>
      <c r="G148" s="16"/>
      <c r="H148" s="16"/>
      <c r="I148" s="38"/>
    </row>
    <row r="149" spans="1:9" x14ac:dyDescent="0.2">
      <c r="A149" s="16"/>
      <c r="B149" s="17"/>
      <c r="C149" s="22"/>
      <c r="D149" s="38"/>
      <c r="E149" s="16"/>
      <c r="F149" s="16"/>
      <c r="G149" s="16"/>
      <c r="H149" s="16"/>
      <c r="I149" s="38"/>
    </row>
    <row r="150" spans="1:9" x14ac:dyDescent="0.2">
      <c r="A150" s="16"/>
      <c r="B150" s="17"/>
      <c r="C150" s="22"/>
      <c r="D150" s="38"/>
      <c r="E150" s="16"/>
      <c r="F150" s="16"/>
      <c r="G150" s="16"/>
      <c r="H150" s="16"/>
      <c r="I150" s="38"/>
    </row>
    <row r="151" spans="1:9" x14ac:dyDescent="0.2">
      <c r="A151" s="16"/>
      <c r="B151" s="17"/>
      <c r="C151" s="22"/>
      <c r="D151" s="38"/>
      <c r="E151" s="16"/>
      <c r="F151" s="16"/>
      <c r="G151" s="16"/>
      <c r="H151" s="16"/>
      <c r="I151" s="38"/>
    </row>
    <row r="152" spans="1:9" x14ac:dyDescent="0.2">
      <c r="A152" s="16"/>
      <c r="B152" s="17"/>
      <c r="C152" s="22"/>
      <c r="D152" s="38"/>
      <c r="E152" s="16"/>
      <c r="F152" s="16"/>
      <c r="G152" s="16"/>
      <c r="H152" s="16"/>
      <c r="I152" s="38"/>
    </row>
    <row r="153" spans="1:9" x14ac:dyDescent="0.2">
      <c r="A153" s="16"/>
      <c r="B153" s="17"/>
      <c r="C153" s="22"/>
      <c r="D153" s="38"/>
      <c r="E153" s="16"/>
      <c r="F153" s="16"/>
      <c r="G153" s="16"/>
      <c r="H153" s="16"/>
      <c r="I153" s="38"/>
    </row>
    <row r="154" spans="1:9" x14ac:dyDescent="0.2">
      <c r="A154" s="16"/>
      <c r="B154" s="17"/>
      <c r="C154" s="22"/>
      <c r="D154" s="38"/>
      <c r="E154" s="16"/>
      <c r="F154" s="16"/>
      <c r="G154" s="16"/>
      <c r="H154" s="16"/>
      <c r="I154" s="38"/>
    </row>
    <row r="155" spans="1:9" x14ac:dyDescent="0.2">
      <c r="A155" s="16"/>
      <c r="B155" s="17"/>
      <c r="C155" s="22"/>
      <c r="D155" s="38"/>
      <c r="E155" s="16"/>
      <c r="F155" s="16"/>
      <c r="G155" s="16"/>
      <c r="H155" s="16"/>
      <c r="I155" s="38"/>
    </row>
    <row r="156" spans="1:9" x14ac:dyDescent="0.2">
      <c r="A156" s="16"/>
      <c r="B156" s="17"/>
      <c r="C156" s="22"/>
      <c r="D156" s="38"/>
      <c r="E156" s="16"/>
      <c r="F156" s="16"/>
      <c r="G156" s="16"/>
      <c r="H156" s="16"/>
      <c r="I156" s="38"/>
    </row>
    <row r="157" spans="1:9" x14ac:dyDescent="0.2">
      <c r="A157" s="16"/>
      <c r="B157" s="17"/>
      <c r="C157" s="22"/>
      <c r="D157" s="38"/>
      <c r="E157" s="16"/>
      <c r="F157" s="16"/>
      <c r="G157" s="16"/>
      <c r="H157" s="16"/>
      <c r="I157" s="38"/>
    </row>
    <row r="158" spans="1:9" x14ac:dyDescent="0.2">
      <c r="A158" s="16"/>
      <c r="B158" s="17"/>
      <c r="C158" s="22"/>
      <c r="D158" s="38"/>
      <c r="E158" s="16"/>
      <c r="F158" s="16"/>
      <c r="G158" s="16"/>
      <c r="H158" s="16"/>
      <c r="I158" s="38"/>
    </row>
    <row r="159" spans="1:9" x14ac:dyDescent="0.2">
      <c r="A159" s="16"/>
      <c r="B159" s="17"/>
      <c r="C159" s="22"/>
      <c r="D159" s="38"/>
      <c r="E159" s="16"/>
      <c r="F159" s="16"/>
      <c r="G159" s="16"/>
      <c r="H159" s="16"/>
      <c r="I159" s="38"/>
    </row>
    <row r="160" spans="1:9" x14ac:dyDescent="0.2">
      <c r="A160" s="16"/>
      <c r="B160" s="17"/>
      <c r="C160" s="22"/>
      <c r="D160" s="38"/>
      <c r="E160" s="16"/>
      <c r="F160" s="16"/>
      <c r="G160" s="16"/>
      <c r="H160" s="16"/>
      <c r="I160" s="38"/>
    </row>
    <row r="161" spans="1:9" x14ac:dyDescent="0.2">
      <c r="A161" s="16"/>
      <c r="B161" s="17"/>
      <c r="C161" s="22"/>
      <c r="D161" s="38"/>
      <c r="E161" s="16"/>
      <c r="F161" s="16"/>
      <c r="G161" s="16"/>
      <c r="H161" s="16"/>
      <c r="I161" s="38"/>
    </row>
    <row r="162" spans="1:9" x14ac:dyDescent="0.2">
      <c r="A162" s="16"/>
      <c r="B162" s="17"/>
      <c r="C162" s="22"/>
      <c r="D162" s="38"/>
      <c r="E162" s="16"/>
      <c r="F162" s="16"/>
      <c r="G162" s="16"/>
      <c r="H162" s="16"/>
      <c r="I162" s="38"/>
    </row>
    <row r="163" spans="1:9" x14ac:dyDescent="0.2">
      <c r="A163" s="16"/>
      <c r="B163" s="17"/>
      <c r="C163" s="22"/>
      <c r="D163" s="38"/>
      <c r="E163" s="16"/>
      <c r="F163" s="16"/>
      <c r="G163" s="16"/>
      <c r="H163" s="16"/>
      <c r="I163" s="38"/>
    </row>
    <row r="164" spans="1:9" x14ac:dyDescent="0.2">
      <c r="A164" s="16"/>
      <c r="B164" s="17"/>
      <c r="C164" s="22"/>
      <c r="D164" s="38"/>
      <c r="E164" s="16"/>
      <c r="F164" s="16"/>
      <c r="G164" s="16"/>
      <c r="H164" s="16"/>
      <c r="I164" s="38"/>
    </row>
    <row r="165" spans="1:9" x14ac:dyDescent="0.2">
      <c r="A165" s="16"/>
      <c r="B165" s="17"/>
      <c r="C165" s="22"/>
      <c r="D165" s="38"/>
      <c r="E165" s="16"/>
      <c r="F165" s="16"/>
      <c r="G165" s="16"/>
      <c r="H165" s="16"/>
      <c r="I165" s="38"/>
    </row>
    <row r="166" spans="1:9" x14ac:dyDescent="0.2">
      <c r="A166" s="16"/>
      <c r="B166" s="17"/>
      <c r="C166" s="22"/>
      <c r="D166" s="38"/>
      <c r="E166" s="16"/>
      <c r="F166" s="16"/>
      <c r="G166" s="16"/>
      <c r="H166" s="16"/>
      <c r="I166" s="38"/>
    </row>
    <row r="167" spans="1:9" x14ac:dyDescent="0.2">
      <c r="A167" s="16"/>
      <c r="B167" s="17"/>
      <c r="C167" s="22"/>
      <c r="D167" s="38"/>
      <c r="E167" s="16"/>
      <c r="F167" s="16"/>
      <c r="G167" s="16"/>
      <c r="H167" s="16"/>
      <c r="I167" s="38"/>
    </row>
    <row r="168" spans="1:9" x14ac:dyDescent="0.2">
      <c r="A168" s="16"/>
      <c r="B168" s="17"/>
      <c r="C168" s="22"/>
      <c r="D168" s="38"/>
      <c r="E168" s="16"/>
      <c r="F168" s="16"/>
      <c r="G168" s="16"/>
      <c r="H168" s="16"/>
      <c r="I168" s="38"/>
    </row>
    <row r="169" spans="1:9" x14ac:dyDescent="0.2">
      <c r="A169" s="16"/>
      <c r="B169" s="17"/>
      <c r="C169" s="22"/>
      <c r="D169" s="38"/>
      <c r="E169" s="16"/>
      <c r="F169" s="16"/>
      <c r="G169" s="16"/>
      <c r="H169" s="16"/>
      <c r="I169" s="38"/>
    </row>
    <row r="170" spans="1:9" x14ac:dyDescent="0.2">
      <c r="A170" s="16"/>
      <c r="B170" s="17"/>
      <c r="C170" s="22"/>
      <c r="D170" s="38"/>
      <c r="E170" s="16"/>
      <c r="F170" s="16"/>
      <c r="G170" s="16"/>
      <c r="H170" s="16"/>
      <c r="I170" s="38"/>
    </row>
    <row r="171" spans="1:9" x14ac:dyDescent="0.2">
      <c r="A171" s="16"/>
      <c r="B171" s="17"/>
      <c r="C171" s="22"/>
      <c r="D171" s="38"/>
      <c r="E171" s="16"/>
      <c r="F171" s="16"/>
      <c r="G171" s="16"/>
      <c r="H171" s="16"/>
      <c r="I171" s="38"/>
    </row>
    <row r="172" spans="1:9" x14ac:dyDescent="0.2">
      <c r="A172" s="16"/>
      <c r="B172" s="17"/>
      <c r="C172" s="22"/>
      <c r="D172" s="38"/>
      <c r="E172" s="16"/>
      <c r="F172" s="16"/>
      <c r="G172" s="16"/>
      <c r="H172" s="16"/>
      <c r="I172" s="38"/>
    </row>
    <row r="173" spans="1:9" x14ac:dyDescent="0.2">
      <c r="A173" s="16"/>
      <c r="B173" s="17"/>
      <c r="C173" s="22"/>
      <c r="D173" s="38"/>
      <c r="E173" s="16"/>
      <c r="F173" s="16"/>
      <c r="G173" s="16"/>
      <c r="H173" s="16"/>
      <c r="I173" s="38"/>
    </row>
    <row r="174" spans="1:9" x14ac:dyDescent="0.2">
      <c r="A174" s="16"/>
      <c r="B174" s="17"/>
      <c r="C174" s="22"/>
      <c r="D174" s="38"/>
      <c r="E174" s="16"/>
      <c r="F174" s="16"/>
      <c r="G174" s="16"/>
      <c r="H174" s="16"/>
      <c r="I174" s="38"/>
    </row>
    <row r="175" spans="1:9" x14ac:dyDescent="0.2">
      <c r="A175" s="16"/>
      <c r="B175" s="17"/>
      <c r="C175" s="22"/>
      <c r="D175" s="38"/>
      <c r="E175" s="16"/>
      <c r="F175" s="16"/>
      <c r="G175" s="16"/>
      <c r="H175" s="16"/>
      <c r="I175" s="38"/>
    </row>
    <row r="176" spans="1:9" x14ac:dyDescent="0.2">
      <c r="A176" s="16"/>
      <c r="B176" s="17"/>
      <c r="C176" s="22"/>
      <c r="D176" s="38"/>
      <c r="E176" s="16"/>
      <c r="F176" s="16"/>
      <c r="G176" s="16"/>
      <c r="H176" s="16"/>
      <c r="I176" s="38"/>
    </row>
    <row r="177" spans="1:9" x14ac:dyDescent="0.2">
      <c r="A177" s="16"/>
      <c r="B177" s="17"/>
      <c r="C177" s="22"/>
      <c r="D177" s="38"/>
      <c r="E177" s="16"/>
      <c r="F177" s="16"/>
      <c r="G177" s="16"/>
      <c r="H177" s="16"/>
      <c r="I177" s="38"/>
    </row>
    <row r="178" spans="1:9" x14ac:dyDescent="0.2">
      <c r="A178" s="16"/>
      <c r="B178" s="17"/>
      <c r="C178" s="22"/>
      <c r="D178" s="38"/>
      <c r="E178" s="16"/>
      <c r="F178" s="16"/>
      <c r="G178" s="16"/>
      <c r="H178" s="16"/>
      <c r="I178" s="38"/>
    </row>
    <row r="179" spans="1:9" x14ac:dyDescent="0.2">
      <c r="A179" s="16"/>
      <c r="B179" s="17"/>
      <c r="C179" s="22"/>
      <c r="D179" s="38"/>
      <c r="E179" s="16"/>
      <c r="F179" s="16"/>
      <c r="G179" s="16"/>
      <c r="H179" s="16"/>
      <c r="I179" s="38"/>
    </row>
    <row r="180" spans="1:9" x14ac:dyDescent="0.2">
      <c r="A180" s="16"/>
      <c r="B180" s="17"/>
      <c r="C180" s="22"/>
      <c r="D180" s="38"/>
      <c r="E180" s="16"/>
      <c r="F180" s="16"/>
      <c r="G180" s="16"/>
      <c r="H180" s="16"/>
      <c r="I180" s="38"/>
    </row>
    <row r="181" spans="1:9" x14ac:dyDescent="0.2">
      <c r="A181" s="16"/>
      <c r="B181" s="17"/>
      <c r="C181" s="22"/>
      <c r="D181" s="38"/>
      <c r="E181" s="16"/>
      <c r="F181" s="16"/>
      <c r="G181" s="16"/>
      <c r="H181" s="16"/>
      <c r="I181" s="38"/>
    </row>
    <row r="182" spans="1:9" x14ac:dyDescent="0.2">
      <c r="A182" s="16"/>
      <c r="B182" s="17"/>
      <c r="C182" s="22"/>
      <c r="D182" s="38"/>
      <c r="E182" s="16"/>
      <c r="F182" s="16"/>
      <c r="G182" s="16"/>
      <c r="H182" s="16"/>
      <c r="I182" s="38"/>
    </row>
    <row r="183" spans="1:9" x14ac:dyDescent="0.2">
      <c r="A183" s="16"/>
      <c r="B183" s="17"/>
      <c r="C183" s="22"/>
      <c r="D183" s="38"/>
      <c r="E183" s="16"/>
      <c r="F183" s="16"/>
      <c r="G183" s="16"/>
      <c r="H183" s="16"/>
      <c r="I183" s="38"/>
    </row>
    <row r="184" spans="1:9" x14ac:dyDescent="0.2">
      <c r="A184" s="16"/>
      <c r="B184" s="17"/>
      <c r="C184" s="22"/>
      <c r="D184" s="38"/>
      <c r="E184" s="16"/>
      <c r="F184" s="16"/>
      <c r="G184" s="16"/>
      <c r="H184" s="16"/>
      <c r="I184" s="38"/>
    </row>
    <row r="185" spans="1:9" x14ac:dyDescent="0.2">
      <c r="A185" s="16"/>
      <c r="B185" s="17"/>
      <c r="C185" s="22"/>
      <c r="D185" s="38"/>
      <c r="E185" s="16"/>
      <c r="F185" s="16"/>
      <c r="G185" s="16"/>
      <c r="H185" s="16"/>
      <c r="I185" s="38"/>
    </row>
    <row r="186" spans="1:9" x14ac:dyDescent="0.2">
      <c r="A186" s="16"/>
      <c r="B186" s="17"/>
      <c r="C186" s="22"/>
      <c r="D186" s="38"/>
      <c r="E186" s="16"/>
      <c r="F186" s="16"/>
      <c r="G186" s="16"/>
      <c r="H186" s="16"/>
      <c r="I186" s="38"/>
    </row>
    <row r="187" spans="1:9" x14ac:dyDescent="0.2">
      <c r="A187" s="16"/>
      <c r="B187" s="17"/>
      <c r="C187" s="22"/>
      <c r="D187" s="38"/>
      <c r="E187" s="16"/>
      <c r="F187" s="16"/>
      <c r="G187" s="16"/>
      <c r="H187" s="16"/>
      <c r="I187" s="38"/>
    </row>
    <row r="188" spans="1:9" x14ac:dyDescent="0.2">
      <c r="A188" s="16"/>
      <c r="B188" s="17"/>
      <c r="C188" s="22"/>
      <c r="D188" s="38"/>
      <c r="E188" s="16"/>
      <c r="F188" s="16"/>
      <c r="G188" s="16"/>
      <c r="H188" s="16"/>
      <c r="I188" s="38"/>
    </row>
    <row r="189" spans="1:9" x14ac:dyDescent="0.2">
      <c r="A189" s="16"/>
      <c r="B189" s="17"/>
      <c r="C189" s="22"/>
      <c r="D189" s="38"/>
      <c r="E189" s="16"/>
      <c r="F189" s="16"/>
      <c r="G189" s="16"/>
      <c r="H189" s="16"/>
      <c r="I189" s="38"/>
    </row>
    <row r="190" spans="1:9" x14ac:dyDescent="0.2">
      <c r="A190" s="16"/>
      <c r="B190" s="17"/>
      <c r="C190" s="22"/>
      <c r="D190" s="38"/>
      <c r="E190" s="16"/>
      <c r="F190" s="16"/>
      <c r="G190" s="16"/>
      <c r="H190" s="16"/>
      <c r="I190" s="38"/>
    </row>
    <row r="191" spans="1:9" x14ac:dyDescent="0.2">
      <c r="A191" s="16"/>
      <c r="B191" s="17"/>
      <c r="C191" s="22"/>
      <c r="D191" s="38"/>
      <c r="E191" s="16"/>
      <c r="F191" s="16"/>
      <c r="G191" s="16"/>
      <c r="H191" s="16"/>
      <c r="I191" s="38"/>
    </row>
    <row r="192" spans="1:9" x14ac:dyDescent="0.2">
      <c r="A192" s="16"/>
      <c r="B192" s="17"/>
      <c r="C192" s="22"/>
      <c r="D192" s="38"/>
      <c r="E192" s="16"/>
      <c r="F192" s="16"/>
      <c r="G192" s="16"/>
      <c r="H192" s="16"/>
      <c r="I192" s="38"/>
    </row>
    <row r="193" spans="1:9" x14ac:dyDescent="0.2">
      <c r="A193" s="16"/>
      <c r="B193" s="17"/>
      <c r="C193" s="22"/>
      <c r="D193" s="38"/>
      <c r="E193" s="16"/>
      <c r="F193" s="16"/>
      <c r="G193" s="16"/>
      <c r="H193" s="16"/>
      <c r="I193" s="38"/>
    </row>
    <row r="194" spans="1:9" x14ac:dyDescent="0.2">
      <c r="A194" s="16"/>
      <c r="B194" s="17"/>
      <c r="C194" s="22"/>
      <c r="D194" s="38"/>
      <c r="E194" s="16"/>
      <c r="F194" s="16"/>
      <c r="G194" s="16"/>
      <c r="H194" s="16"/>
      <c r="I194" s="38"/>
    </row>
    <row r="195" spans="1:9" x14ac:dyDescent="0.2">
      <c r="A195" s="16"/>
      <c r="B195" s="17"/>
      <c r="C195" s="22"/>
      <c r="D195" s="38"/>
      <c r="E195" s="16"/>
      <c r="F195" s="16"/>
      <c r="G195" s="16"/>
      <c r="H195" s="16"/>
      <c r="I195" s="38"/>
    </row>
    <row r="196" spans="1:9" x14ac:dyDescent="0.2">
      <c r="A196" s="16"/>
      <c r="B196" s="17"/>
      <c r="C196" s="22"/>
      <c r="D196" s="38"/>
      <c r="E196" s="16"/>
      <c r="F196" s="16"/>
      <c r="G196" s="16"/>
      <c r="H196" s="16"/>
      <c r="I196" s="38"/>
    </row>
    <row r="197" spans="1:9" x14ac:dyDescent="0.2">
      <c r="A197" s="16"/>
      <c r="B197" s="17"/>
      <c r="C197" s="22"/>
      <c r="D197" s="38"/>
      <c r="E197" s="16"/>
      <c r="F197" s="16"/>
      <c r="G197" s="16"/>
      <c r="H197" s="16"/>
      <c r="I197" s="38"/>
    </row>
    <row r="198" spans="1:9" x14ac:dyDescent="0.2">
      <c r="A198" s="16"/>
      <c r="B198" s="17"/>
      <c r="C198" s="22"/>
      <c r="D198" s="38"/>
      <c r="E198" s="16"/>
      <c r="F198" s="16"/>
      <c r="G198" s="16"/>
      <c r="H198" s="16"/>
      <c r="I198" s="38"/>
    </row>
    <row r="199" spans="1:9" x14ac:dyDescent="0.2">
      <c r="A199" s="16"/>
      <c r="B199" s="17"/>
      <c r="C199" s="22"/>
      <c r="D199" s="38"/>
      <c r="E199" s="16"/>
      <c r="F199" s="16"/>
      <c r="G199" s="16"/>
      <c r="H199" s="16"/>
      <c r="I199" s="38"/>
    </row>
    <row r="200" spans="1:9" x14ac:dyDescent="0.2">
      <c r="A200" s="16"/>
      <c r="B200" s="17"/>
      <c r="C200" s="22"/>
      <c r="D200" s="38"/>
      <c r="E200" s="16"/>
      <c r="F200" s="16"/>
      <c r="G200" s="16"/>
      <c r="H200" s="16"/>
      <c r="I200" s="38"/>
    </row>
    <row r="201" spans="1:9" x14ac:dyDescent="0.2">
      <c r="A201" s="16"/>
      <c r="B201" s="17"/>
      <c r="C201" s="22"/>
      <c r="D201" s="38"/>
      <c r="E201" s="16"/>
      <c r="F201" s="16"/>
      <c r="G201" s="16"/>
      <c r="H201" s="16"/>
      <c r="I201" s="38"/>
    </row>
    <row r="202" spans="1:9" x14ac:dyDescent="0.2">
      <c r="A202" s="16"/>
      <c r="B202" s="17"/>
      <c r="C202" s="22"/>
      <c r="D202" s="38"/>
      <c r="E202" s="16"/>
      <c r="F202" s="16"/>
      <c r="G202" s="16"/>
      <c r="H202" s="16"/>
      <c r="I202" s="38"/>
    </row>
    <row r="203" spans="1:9" x14ac:dyDescent="0.2">
      <c r="A203" s="16"/>
      <c r="B203" s="17"/>
      <c r="C203" s="22"/>
      <c r="D203" s="38"/>
      <c r="E203" s="16"/>
      <c r="F203" s="16"/>
      <c r="G203" s="16"/>
      <c r="H203" s="16"/>
      <c r="I203" s="38"/>
    </row>
    <row r="204" spans="1:9" x14ac:dyDescent="0.2">
      <c r="A204" s="16"/>
      <c r="B204" s="17"/>
      <c r="C204" s="22"/>
      <c r="D204" s="38"/>
      <c r="E204" s="16"/>
      <c r="F204" s="16"/>
      <c r="G204" s="16"/>
      <c r="H204" s="16"/>
      <c r="I204" s="38"/>
    </row>
    <row r="205" spans="1:9" x14ac:dyDescent="0.2">
      <c r="A205" s="16"/>
      <c r="B205" s="17"/>
      <c r="C205" s="22"/>
      <c r="D205" s="38"/>
      <c r="E205" s="16"/>
      <c r="F205" s="16"/>
      <c r="G205" s="16"/>
      <c r="H205" s="16"/>
      <c r="I205" s="38"/>
    </row>
    <row r="206" spans="1:9" x14ac:dyDescent="0.2">
      <c r="A206" s="16"/>
      <c r="B206" s="17"/>
      <c r="C206" s="22"/>
      <c r="D206" s="38"/>
      <c r="E206" s="16"/>
      <c r="F206" s="16"/>
      <c r="G206" s="16"/>
      <c r="H206" s="16"/>
      <c r="I206" s="38"/>
    </row>
    <row r="207" spans="1:9" x14ac:dyDescent="0.2">
      <c r="A207" s="16"/>
      <c r="B207" s="17"/>
      <c r="C207" s="22"/>
      <c r="D207" s="38"/>
      <c r="E207" s="16"/>
      <c r="F207" s="16"/>
      <c r="G207" s="16"/>
      <c r="H207" s="16"/>
      <c r="I207" s="38"/>
    </row>
    <row r="208" spans="1:9" x14ac:dyDescent="0.2">
      <c r="A208" s="16"/>
      <c r="B208" s="17"/>
      <c r="C208" s="22"/>
      <c r="D208" s="38"/>
      <c r="E208" s="16"/>
      <c r="F208" s="16"/>
      <c r="G208" s="16"/>
      <c r="H208" s="16"/>
      <c r="I208" s="38"/>
    </row>
    <row r="209" spans="1:9" x14ac:dyDescent="0.2">
      <c r="A209" s="16"/>
      <c r="B209" s="17"/>
      <c r="C209" s="22"/>
      <c r="D209" s="38"/>
      <c r="E209" s="16"/>
      <c r="F209" s="16"/>
      <c r="G209" s="16"/>
      <c r="H209" s="16"/>
      <c r="I209" s="38"/>
    </row>
    <row r="210" spans="1:9" x14ac:dyDescent="0.2">
      <c r="A210" s="16"/>
      <c r="B210" s="17"/>
      <c r="C210" s="22"/>
      <c r="D210" s="38"/>
      <c r="E210" s="16"/>
      <c r="F210" s="16"/>
      <c r="G210" s="16"/>
      <c r="H210" s="16"/>
      <c r="I210" s="38"/>
    </row>
    <row r="211" spans="1:9" x14ac:dyDescent="0.2">
      <c r="A211" s="16"/>
      <c r="B211" s="17"/>
      <c r="C211" s="22"/>
      <c r="D211" s="38"/>
      <c r="E211" s="16"/>
      <c r="F211" s="16"/>
      <c r="G211" s="16"/>
      <c r="H211" s="16"/>
      <c r="I211" s="38"/>
    </row>
    <row r="212" spans="1:9" x14ac:dyDescent="0.2">
      <c r="A212" s="16"/>
      <c r="B212" s="17"/>
      <c r="C212" s="22"/>
      <c r="D212" s="38"/>
      <c r="E212" s="16"/>
      <c r="F212" s="16"/>
      <c r="G212" s="16"/>
      <c r="H212" s="16"/>
      <c r="I212" s="38"/>
    </row>
    <row r="213" spans="1:9" x14ac:dyDescent="0.2">
      <c r="A213" s="16"/>
      <c r="B213" s="17"/>
      <c r="C213" s="22"/>
      <c r="D213" s="38"/>
      <c r="E213" s="16"/>
      <c r="F213" s="16"/>
      <c r="G213" s="16"/>
      <c r="H213" s="16"/>
      <c r="I213" s="38"/>
    </row>
    <row r="214" spans="1:9" x14ac:dyDescent="0.2">
      <c r="A214" s="16"/>
      <c r="B214" s="17"/>
      <c r="C214" s="22"/>
      <c r="D214" s="38"/>
      <c r="E214" s="16"/>
      <c r="F214" s="16"/>
      <c r="G214" s="16"/>
      <c r="H214" s="16"/>
      <c r="I214" s="38"/>
    </row>
    <row r="215" spans="1:9" x14ac:dyDescent="0.2">
      <c r="A215" s="16"/>
      <c r="B215" s="17"/>
      <c r="C215" s="22"/>
      <c r="D215" s="38"/>
      <c r="E215" s="16"/>
      <c r="F215" s="16"/>
      <c r="G215" s="16"/>
      <c r="H215" s="16"/>
      <c r="I215" s="38"/>
    </row>
    <row r="216" spans="1:9" x14ac:dyDescent="0.2">
      <c r="A216" s="16"/>
      <c r="B216" s="17"/>
      <c r="C216" s="22"/>
      <c r="D216" s="38"/>
      <c r="E216" s="16"/>
      <c r="F216" s="16"/>
      <c r="G216" s="16"/>
      <c r="H216" s="16"/>
      <c r="I216" s="38"/>
    </row>
    <row r="217" spans="1:9" x14ac:dyDescent="0.2">
      <c r="A217" s="16"/>
      <c r="B217" s="17"/>
      <c r="C217" s="22"/>
      <c r="D217" s="38"/>
      <c r="E217" s="16"/>
      <c r="F217" s="16"/>
      <c r="G217" s="16"/>
      <c r="H217" s="16"/>
      <c r="I217" s="38"/>
    </row>
    <row r="218" spans="1:9" x14ac:dyDescent="0.2">
      <c r="A218" s="16"/>
      <c r="B218" s="17"/>
      <c r="C218" s="22"/>
      <c r="D218" s="38"/>
      <c r="E218" s="16"/>
      <c r="F218" s="16"/>
      <c r="G218" s="16"/>
      <c r="H218" s="16"/>
      <c r="I218" s="38"/>
    </row>
    <row r="219" spans="1:9" x14ac:dyDescent="0.2">
      <c r="A219" s="16"/>
      <c r="B219" s="17"/>
      <c r="C219" s="22"/>
      <c r="D219" s="38"/>
      <c r="E219" s="16"/>
      <c r="F219" s="16"/>
      <c r="G219" s="16"/>
      <c r="H219" s="16"/>
      <c r="I219" s="38"/>
    </row>
    <row r="220" spans="1:9" x14ac:dyDescent="0.2">
      <c r="A220" s="16"/>
      <c r="B220" s="17"/>
      <c r="C220" s="22"/>
      <c r="D220" s="38"/>
      <c r="E220" s="16"/>
      <c r="F220" s="16"/>
      <c r="G220" s="16"/>
      <c r="H220" s="16"/>
      <c r="I220" s="38"/>
    </row>
    <row r="221" spans="1:9" x14ac:dyDescent="0.2">
      <c r="A221" s="16"/>
      <c r="B221" s="17"/>
      <c r="C221" s="22"/>
      <c r="D221" s="38"/>
      <c r="E221" s="16"/>
      <c r="F221" s="16"/>
      <c r="G221" s="16"/>
      <c r="H221" s="16"/>
      <c r="I221" s="38"/>
    </row>
    <row r="222" spans="1:9" x14ac:dyDescent="0.2">
      <c r="A222" s="16"/>
      <c r="B222" s="17"/>
      <c r="C222" s="22"/>
      <c r="D222" s="38"/>
      <c r="E222" s="16"/>
      <c r="F222" s="16"/>
      <c r="G222" s="16"/>
      <c r="H222" s="16"/>
      <c r="I222" s="38"/>
    </row>
    <row r="223" spans="1:9" x14ac:dyDescent="0.2">
      <c r="A223" s="16"/>
      <c r="B223" s="17"/>
      <c r="C223" s="22"/>
      <c r="D223" s="38"/>
      <c r="E223" s="16"/>
      <c r="F223" s="16"/>
      <c r="G223" s="16"/>
      <c r="H223" s="16"/>
      <c r="I223" s="38"/>
    </row>
    <row r="224" spans="1:9" x14ac:dyDescent="0.2">
      <c r="A224" s="16"/>
      <c r="B224" s="17"/>
      <c r="C224" s="22"/>
      <c r="D224" s="38"/>
      <c r="E224" s="16"/>
      <c r="F224" s="16"/>
      <c r="G224" s="16"/>
      <c r="H224" s="16"/>
      <c r="I224" s="38"/>
    </row>
    <row r="225" spans="1:9" x14ac:dyDescent="0.2">
      <c r="A225" s="16"/>
      <c r="B225" s="17"/>
      <c r="C225" s="22"/>
      <c r="D225" s="38"/>
      <c r="E225" s="16"/>
      <c r="F225" s="16"/>
      <c r="G225" s="16"/>
      <c r="H225" s="16"/>
      <c r="I225" s="38"/>
    </row>
    <row r="226" spans="1:9" x14ac:dyDescent="0.2">
      <c r="A226" s="16"/>
      <c r="B226" s="17"/>
      <c r="C226" s="22"/>
      <c r="D226" s="38"/>
      <c r="E226" s="16"/>
      <c r="F226" s="16"/>
      <c r="G226" s="16"/>
      <c r="H226" s="16"/>
      <c r="I226" s="38"/>
    </row>
    <row r="227" spans="1:9" x14ac:dyDescent="0.2">
      <c r="A227" s="16"/>
      <c r="B227" s="17"/>
      <c r="C227" s="22"/>
      <c r="D227" s="38"/>
      <c r="E227" s="16"/>
      <c r="F227" s="16"/>
      <c r="G227" s="16"/>
      <c r="H227" s="16"/>
      <c r="I227" s="38"/>
    </row>
    <row r="228" spans="1:9" x14ac:dyDescent="0.2">
      <c r="A228" s="16"/>
      <c r="B228" s="17"/>
      <c r="C228" s="22"/>
      <c r="D228" s="38"/>
      <c r="E228" s="16"/>
      <c r="F228" s="16"/>
      <c r="G228" s="16"/>
      <c r="H228" s="16"/>
      <c r="I228" s="38"/>
    </row>
    <row r="229" spans="1:9" x14ac:dyDescent="0.2">
      <c r="A229" s="16"/>
      <c r="B229" s="17"/>
      <c r="C229" s="22"/>
      <c r="D229" s="38"/>
      <c r="E229" s="16"/>
      <c r="F229" s="16"/>
      <c r="G229" s="16"/>
      <c r="H229" s="16"/>
      <c r="I229" s="38"/>
    </row>
    <row r="230" spans="1:9" x14ac:dyDescent="0.2">
      <c r="A230" s="16"/>
      <c r="B230" s="17"/>
      <c r="C230" s="22"/>
      <c r="D230" s="38"/>
      <c r="E230" s="16"/>
      <c r="F230" s="16"/>
      <c r="G230" s="16"/>
      <c r="H230" s="16"/>
      <c r="I230" s="38"/>
    </row>
    <row r="231" spans="1:9" x14ac:dyDescent="0.2">
      <c r="A231" s="16"/>
      <c r="B231" s="17"/>
      <c r="C231" s="22"/>
      <c r="D231" s="38"/>
      <c r="E231" s="16"/>
      <c r="F231" s="16"/>
      <c r="G231" s="16"/>
      <c r="H231" s="16"/>
      <c r="I231" s="38"/>
    </row>
  </sheetData>
  <mergeCells count="15">
    <mergeCell ref="B7:B8"/>
    <mergeCell ref="C7:C8"/>
    <mergeCell ref="A7:A8"/>
    <mergeCell ref="K9:R9"/>
    <mergeCell ref="K7:R7"/>
    <mergeCell ref="K8:R8"/>
    <mergeCell ref="D7:H7"/>
    <mergeCell ref="I7:I8"/>
    <mergeCell ref="C9:I9"/>
    <mergeCell ref="B5:I5"/>
    <mergeCell ref="B6:I6"/>
    <mergeCell ref="B1:I1"/>
    <mergeCell ref="B2:I2"/>
    <mergeCell ref="B3:I3"/>
    <mergeCell ref="B4:I4"/>
  </mergeCells>
  <pageMargins left="0.45" right="0.45" top="0.75" bottom="0.5" header="0.3" footer="0.3"/>
  <pageSetup scale="85" orientation="portrait" r:id="rId1"/>
  <headerFooter>
    <oddFooter>&amp;CPage no  &amp;P  MB-  1000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9"/>
  <sheetViews>
    <sheetView view="pageBreakPreview" topLeftCell="A19" zoomScale="90" zoomScaleSheetLayoutView="90" workbookViewId="0">
      <selection activeCell="C12" sqref="C12"/>
    </sheetView>
  </sheetViews>
  <sheetFormatPr defaultColWidth="9.140625" defaultRowHeight="14.25" x14ac:dyDescent="0.2"/>
  <cols>
    <col min="1" max="1" width="13.140625" style="8" customWidth="1"/>
    <col min="2" max="2" width="9.42578125" style="18" customWidth="1"/>
    <col min="3" max="3" width="42.85546875" style="23" customWidth="1"/>
    <col min="4" max="4" width="4.28515625" style="39" bestFit="1" customWidth="1"/>
    <col min="5" max="6" width="9.28515625" style="8" bestFit="1" customWidth="1"/>
    <col min="7" max="7" width="7.7109375" style="8" bestFit="1" customWidth="1"/>
    <col min="8" max="8" width="11.85546875" style="8" customWidth="1"/>
    <col min="9" max="9" width="9.28515625" style="39" customWidth="1"/>
    <col min="10" max="10" width="9.140625" style="8"/>
    <col min="11" max="11" width="9.85546875" style="8" bestFit="1" customWidth="1"/>
    <col min="12" max="12" width="9.28515625" style="8" bestFit="1" customWidth="1"/>
    <col min="13" max="13" width="9.7109375" style="8" bestFit="1" customWidth="1"/>
    <col min="14" max="16384" width="9.140625" style="8"/>
  </cols>
  <sheetData>
    <row r="1" spans="1:18" ht="34.15" customHeight="1" x14ac:dyDescent="0.2">
      <c r="A1" s="26" t="s">
        <v>16</v>
      </c>
      <c r="B1" s="186" t="s">
        <v>23</v>
      </c>
      <c r="C1" s="187"/>
      <c r="D1" s="187"/>
      <c r="E1" s="187"/>
      <c r="F1" s="187"/>
      <c r="G1" s="187"/>
      <c r="H1" s="187"/>
      <c r="I1" s="188"/>
    </row>
    <row r="2" spans="1:18" ht="24.75" customHeight="1" x14ac:dyDescent="0.2">
      <c r="A2" s="26" t="s">
        <v>17</v>
      </c>
      <c r="B2" s="168" t="s">
        <v>26</v>
      </c>
      <c r="C2" s="169"/>
      <c r="D2" s="169"/>
      <c r="E2" s="169"/>
      <c r="F2" s="169"/>
      <c r="G2" s="169"/>
      <c r="H2" s="169"/>
      <c r="I2" s="170"/>
    </row>
    <row r="3" spans="1:18" ht="24.75" customHeight="1" x14ac:dyDescent="0.2">
      <c r="A3" s="27" t="s">
        <v>31</v>
      </c>
      <c r="B3" s="168" t="s">
        <v>33</v>
      </c>
      <c r="C3" s="169"/>
      <c r="D3" s="169"/>
      <c r="E3" s="169"/>
      <c r="F3" s="169"/>
      <c r="G3" s="169"/>
      <c r="H3" s="169"/>
      <c r="I3" s="170"/>
    </row>
    <row r="4" spans="1:18" ht="24.75" customHeight="1" x14ac:dyDescent="0.2">
      <c r="A4" s="27" t="s">
        <v>18</v>
      </c>
      <c r="B4" s="168" t="s">
        <v>28</v>
      </c>
      <c r="C4" s="169"/>
      <c r="D4" s="169"/>
      <c r="E4" s="169"/>
      <c r="F4" s="169"/>
      <c r="G4" s="169"/>
      <c r="H4" s="169"/>
      <c r="I4" s="170"/>
    </row>
    <row r="5" spans="1:18" ht="24.75" customHeight="1" x14ac:dyDescent="0.2">
      <c r="A5" s="27" t="s">
        <v>30</v>
      </c>
      <c r="B5" s="168" t="s">
        <v>29</v>
      </c>
      <c r="C5" s="169"/>
      <c r="D5" s="169"/>
      <c r="E5" s="169"/>
      <c r="F5" s="169"/>
      <c r="G5" s="169"/>
      <c r="H5" s="169"/>
      <c r="I5" s="170"/>
    </row>
    <row r="6" spans="1:18" ht="25.5" customHeight="1" x14ac:dyDescent="0.2">
      <c r="A6" s="27" t="s">
        <v>19</v>
      </c>
      <c r="B6" s="171" t="s">
        <v>37</v>
      </c>
      <c r="C6" s="172">
        <v>1</v>
      </c>
      <c r="D6" s="172"/>
      <c r="E6" s="172"/>
      <c r="F6" s="172"/>
      <c r="G6" s="172"/>
      <c r="H6" s="172"/>
      <c r="I6" s="173"/>
      <c r="L6" s="9"/>
    </row>
    <row r="7" spans="1:18" ht="41.25" customHeight="1" x14ac:dyDescent="0.2">
      <c r="A7" s="221" t="s">
        <v>20</v>
      </c>
      <c r="B7" s="221" t="s">
        <v>14</v>
      </c>
      <c r="C7" s="222" t="s">
        <v>4</v>
      </c>
      <c r="D7" s="165" t="s">
        <v>15</v>
      </c>
      <c r="E7" s="165" t="s">
        <v>0</v>
      </c>
      <c r="F7" s="165" t="s">
        <v>1</v>
      </c>
      <c r="G7" s="29" t="s">
        <v>2</v>
      </c>
      <c r="H7" s="165" t="s">
        <v>22</v>
      </c>
      <c r="I7" s="223" t="s">
        <v>8</v>
      </c>
      <c r="J7" s="10"/>
      <c r="K7" s="181"/>
      <c r="L7" s="181"/>
      <c r="M7" s="181"/>
      <c r="N7" s="181"/>
      <c r="O7" s="181"/>
      <c r="P7" s="181"/>
      <c r="Q7" s="181"/>
      <c r="R7" s="181"/>
    </row>
    <row r="8" spans="1:18" ht="27.75" customHeight="1" x14ac:dyDescent="0.2">
      <c r="A8" s="13" t="s">
        <v>105</v>
      </c>
      <c r="B8" s="155" t="s">
        <v>44</v>
      </c>
      <c r="C8" s="20" t="s">
        <v>61</v>
      </c>
      <c r="D8" s="34">
        <v>1</v>
      </c>
      <c r="E8" s="31">
        <v>2.2000000000000002</v>
      </c>
      <c r="F8" s="31">
        <v>2.2000000000000002</v>
      </c>
      <c r="G8" s="30">
        <v>0.4009999999999998</v>
      </c>
      <c r="H8" s="11">
        <f t="shared" ref="H8:H12" si="0">+D8*E8*F8*G8</f>
        <v>1.9408399999999992</v>
      </c>
      <c r="I8" s="35"/>
      <c r="J8" s="43"/>
    </row>
    <row r="9" spans="1:18" ht="27.75" customHeight="1" x14ac:dyDescent="0.2">
      <c r="A9" s="13"/>
      <c r="B9" s="155"/>
      <c r="C9" s="20" t="s">
        <v>62</v>
      </c>
      <c r="D9" s="34">
        <v>1</v>
      </c>
      <c r="E9" s="31">
        <v>3.2</v>
      </c>
      <c r="F9" s="31">
        <v>3.2</v>
      </c>
      <c r="G9" s="30">
        <v>0.45599999999999952</v>
      </c>
      <c r="H9" s="11">
        <f t="shared" si="0"/>
        <v>4.6694399999999963</v>
      </c>
      <c r="I9" s="35"/>
      <c r="J9" s="43"/>
    </row>
    <row r="10" spans="1:18" ht="27.75" customHeight="1" x14ac:dyDescent="0.2">
      <c r="A10" s="13"/>
      <c r="B10" s="155"/>
      <c r="C10" s="20" t="s">
        <v>63</v>
      </c>
      <c r="D10" s="34">
        <v>1</v>
      </c>
      <c r="E10" s="31">
        <v>3.2</v>
      </c>
      <c r="F10" s="31">
        <v>3.2</v>
      </c>
      <c r="G10" s="30">
        <v>0.51399999999999935</v>
      </c>
      <c r="H10" s="11">
        <f t="shared" si="0"/>
        <v>5.2633599999999943</v>
      </c>
      <c r="I10" s="35"/>
      <c r="J10" s="43"/>
    </row>
    <row r="11" spans="1:18" ht="27.75" customHeight="1" x14ac:dyDescent="0.2">
      <c r="A11" s="13"/>
      <c r="B11" s="155"/>
      <c r="C11" s="20" t="s">
        <v>64</v>
      </c>
      <c r="D11" s="34">
        <v>1</v>
      </c>
      <c r="E11" s="31">
        <v>3.2</v>
      </c>
      <c r="F11" s="31">
        <v>3.2</v>
      </c>
      <c r="G11" s="30">
        <v>0.29400000000000048</v>
      </c>
      <c r="H11" s="11">
        <f t="shared" si="0"/>
        <v>3.0105600000000057</v>
      </c>
      <c r="I11" s="35"/>
      <c r="J11" s="43"/>
    </row>
    <row r="12" spans="1:18" ht="27.75" customHeight="1" x14ac:dyDescent="0.2">
      <c r="A12" s="13"/>
      <c r="B12" s="155"/>
      <c r="C12" s="20" t="s">
        <v>65</v>
      </c>
      <c r="D12" s="34">
        <v>1</v>
      </c>
      <c r="E12" s="31">
        <v>3.2</v>
      </c>
      <c r="F12" s="31">
        <v>3.2</v>
      </c>
      <c r="G12" s="30">
        <v>0.24299999999999855</v>
      </c>
      <c r="H12" s="11">
        <f t="shared" si="0"/>
        <v>2.4883199999999857</v>
      </c>
      <c r="I12" s="35"/>
      <c r="J12" s="43"/>
    </row>
    <row r="13" spans="1:18" ht="28.5" x14ac:dyDescent="0.2">
      <c r="A13" s="13" t="s">
        <v>106</v>
      </c>
      <c r="B13" s="155">
        <v>5.5</v>
      </c>
      <c r="C13" s="20" t="s">
        <v>45</v>
      </c>
      <c r="D13" s="34">
        <v>1</v>
      </c>
      <c r="E13" s="31">
        <v>3.2</v>
      </c>
      <c r="F13" s="31">
        <v>3.2</v>
      </c>
      <c r="G13" s="30">
        <v>0.79400000000000048</v>
      </c>
      <c r="H13" s="11">
        <f t="shared" ref="H13:H21" si="1">+D13*E13*F13*G13</f>
        <v>8.1305600000000062</v>
      </c>
      <c r="I13" s="35"/>
      <c r="J13" s="43"/>
    </row>
    <row r="14" spans="1:18" ht="28.5" x14ac:dyDescent="0.2">
      <c r="A14" s="43"/>
      <c r="B14" s="41"/>
      <c r="C14" s="20" t="s">
        <v>46</v>
      </c>
      <c r="D14" s="34">
        <v>1</v>
      </c>
      <c r="E14" s="31">
        <v>3.2</v>
      </c>
      <c r="F14" s="31">
        <v>3.2</v>
      </c>
      <c r="G14" s="30">
        <v>0.63100000000000023</v>
      </c>
      <c r="H14" s="11">
        <f t="shared" si="1"/>
        <v>6.4614400000000032</v>
      </c>
      <c r="I14" s="35"/>
      <c r="J14" s="43"/>
    </row>
    <row r="15" spans="1:18" ht="28.5" x14ac:dyDescent="0.2">
      <c r="A15" s="43"/>
      <c r="B15" s="41"/>
      <c r="C15" s="20" t="s">
        <v>47</v>
      </c>
      <c r="D15" s="34">
        <v>1</v>
      </c>
      <c r="E15" s="31">
        <v>3.2</v>
      </c>
      <c r="F15" s="31">
        <v>3.2</v>
      </c>
      <c r="G15" s="30">
        <v>0.24099999999999966</v>
      </c>
      <c r="H15" s="11">
        <f t="shared" si="1"/>
        <v>2.4678399999999971</v>
      </c>
      <c r="I15" s="35"/>
      <c r="J15" s="43"/>
    </row>
    <row r="16" spans="1:18" ht="28.5" x14ac:dyDescent="0.2">
      <c r="A16" s="43"/>
      <c r="B16" s="41"/>
      <c r="C16" s="20" t="s">
        <v>49</v>
      </c>
      <c r="D16" s="34">
        <v>1</v>
      </c>
      <c r="E16" s="31">
        <v>9.75</v>
      </c>
      <c r="F16" s="31">
        <v>3.2</v>
      </c>
      <c r="G16" s="30">
        <v>0.56599999999999895</v>
      </c>
      <c r="H16" s="11">
        <f t="shared" si="1"/>
        <v>17.65919999999997</v>
      </c>
      <c r="I16" s="35"/>
      <c r="J16" s="43"/>
    </row>
    <row r="17" spans="1:10" ht="28.5" x14ac:dyDescent="0.2">
      <c r="A17" s="43"/>
      <c r="B17" s="41"/>
      <c r="C17" s="20" t="s">
        <v>48</v>
      </c>
      <c r="D17" s="34">
        <v>1</v>
      </c>
      <c r="E17" s="31">
        <v>3.2</v>
      </c>
      <c r="F17" s="31">
        <v>3.2</v>
      </c>
      <c r="G17" s="30">
        <v>0.35300000000000153</v>
      </c>
      <c r="H17" s="11">
        <f t="shared" si="1"/>
        <v>3.6147200000000166</v>
      </c>
      <c r="I17" s="35"/>
      <c r="J17" s="43"/>
    </row>
    <row r="18" spans="1:10" ht="28.5" x14ac:dyDescent="0.2">
      <c r="A18" s="43"/>
      <c r="B18" s="41"/>
      <c r="C18" s="20" t="s">
        <v>50</v>
      </c>
      <c r="D18" s="34">
        <v>1</v>
      </c>
      <c r="E18" s="31">
        <v>3.2</v>
      </c>
      <c r="F18" s="31">
        <v>3.2</v>
      </c>
      <c r="G18" s="30">
        <v>0.72500000000000142</v>
      </c>
      <c r="H18" s="11">
        <f t="shared" si="1"/>
        <v>7.4240000000000164</v>
      </c>
      <c r="I18" s="35"/>
      <c r="J18" s="43"/>
    </row>
    <row r="19" spans="1:10" ht="28.5" x14ac:dyDescent="0.2">
      <c r="A19" s="43"/>
      <c r="B19" s="41"/>
      <c r="C19" s="20" t="s">
        <v>51</v>
      </c>
      <c r="D19" s="34">
        <v>1</v>
      </c>
      <c r="E19" s="31">
        <v>3.2</v>
      </c>
      <c r="F19" s="31">
        <v>3.2</v>
      </c>
      <c r="G19" s="30">
        <v>0.50400000000000134</v>
      </c>
      <c r="H19" s="11">
        <f t="shared" si="1"/>
        <v>5.1609600000000144</v>
      </c>
      <c r="I19" s="35"/>
      <c r="J19" s="43"/>
    </row>
    <row r="20" spans="1:10" ht="28.5" x14ac:dyDescent="0.2">
      <c r="A20" s="43"/>
      <c r="B20" s="41"/>
      <c r="C20" s="20" t="s">
        <v>52</v>
      </c>
      <c r="D20" s="34">
        <v>1</v>
      </c>
      <c r="E20" s="31">
        <v>11.025</v>
      </c>
      <c r="F20" s="31">
        <v>3.2</v>
      </c>
      <c r="G20" s="30">
        <v>0.32999999999999829</v>
      </c>
      <c r="H20" s="11">
        <f t="shared" si="1"/>
        <v>11.64239999999994</v>
      </c>
      <c r="I20" s="35"/>
      <c r="J20" s="43"/>
    </row>
    <row r="21" spans="1:10" ht="28.5" x14ac:dyDescent="0.2">
      <c r="A21" s="43"/>
      <c r="B21" s="41"/>
      <c r="C21" s="20" t="s">
        <v>53</v>
      </c>
      <c r="D21" s="34">
        <v>1</v>
      </c>
      <c r="E21" s="31">
        <v>3.2</v>
      </c>
      <c r="F21" s="31">
        <v>3.2</v>
      </c>
      <c r="G21" s="30">
        <v>0.33200000000000074</v>
      </c>
      <c r="H21" s="11">
        <f t="shared" si="1"/>
        <v>3.399680000000008</v>
      </c>
      <c r="I21" s="35"/>
      <c r="J21" s="43"/>
    </row>
    <row r="22" spans="1:10" ht="28.5" x14ac:dyDescent="0.2">
      <c r="A22" s="13" t="s">
        <v>107</v>
      </c>
      <c r="B22" s="155">
        <v>5.5</v>
      </c>
      <c r="C22" s="20" t="s">
        <v>54</v>
      </c>
      <c r="D22" s="34">
        <v>1</v>
      </c>
      <c r="E22" s="31">
        <v>3.2</v>
      </c>
      <c r="F22" s="31">
        <v>3.2</v>
      </c>
      <c r="G22" s="30">
        <v>0.77899999999999991</v>
      </c>
      <c r="H22" s="11">
        <f t="shared" ref="H22:H28" si="2">+D22*E22*F22*G22</f>
        <v>7.9769600000000009</v>
      </c>
      <c r="I22" s="35"/>
      <c r="J22" s="43"/>
    </row>
    <row r="23" spans="1:10" ht="28.5" x14ac:dyDescent="0.2">
      <c r="A23" s="43"/>
      <c r="B23" s="41"/>
      <c r="C23" s="20" t="s">
        <v>55</v>
      </c>
      <c r="D23" s="34">
        <v>1</v>
      </c>
      <c r="E23" s="31">
        <v>3.2</v>
      </c>
      <c r="F23" s="31">
        <v>3.2</v>
      </c>
      <c r="G23" s="30">
        <v>1.3520000000000003</v>
      </c>
      <c r="H23" s="11">
        <f t="shared" si="2"/>
        <v>13.844480000000006</v>
      </c>
      <c r="I23" s="35"/>
      <c r="J23" s="43"/>
    </row>
    <row r="24" spans="1:10" ht="28.5" x14ac:dyDescent="0.2">
      <c r="A24" s="43"/>
      <c r="B24" s="41"/>
      <c r="C24" s="20" t="s">
        <v>56</v>
      </c>
      <c r="D24" s="34">
        <v>1</v>
      </c>
      <c r="E24" s="31">
        <v>3.2</v>
      </c>
      <c r="F24" s="31">
        <v>3.2</v>
      </c>
      <c r="G24" s="30">
        <v>0.96399999999999864</v>
      </c>
      <c r="H24" s="11">
        <f t="shared" si="2"/>
        <v>9.8713599999999886</v>
      </c>
      <c r="I24" s="35"/>
      <c r="J24" s="43"/>
    </row>
    <row r="25" spans="1:10" ht="28.5" x14ac:dyDescent="0.2">
      <c r="A25" s="43"/>
      <c r="B25" s="41"/>
      <c r="C25" s="20" t="s">
        <v>57</v>
      </c>
      <c r="D25" s="34">
        <v>1</v>
      </c>
      <c r="E25" s="31">
        <v>3.2</v>
      </c>
      <c r="F25" s="31">
        <v>3.2</v>
      </c>
      <c r="G25" s="30">
        <v>0.50700000000000145</v>
      </c>
      <c r="H25" s="11">
        <f t="shared" si="2"/>
        <v>5.1916800000000158</v>
      </c>
      <c r="I25" s="35"/>
      <c r="J25" s="43"/>
    </row>
    <row r="26" spans="1:10" ht="28.5" x14ac:dyDescent="0.2">
      <c r="A26" s="43"/>
      <c r="B26" s="41"/>
      <c r="C26" s="20" t="s">
        <v>58</v>
      </c>
      <c r="D26" s="34">
        <v>1</v>
      </c>
      <c r="E26" s="31">
        <v>3.2</v>
      </c>
      <c r="F26" s="31">
        <v>3.2</v>
      </c>
      <c r="G26" s="30">
        <v>0.40899999999999892</v>
      </c>
      <c r="H26" s="11">
        <f t="shared" si="2"/>
        <v>4.1881599999999901</v>
      </c>
      <c r="I26" s="35"/>
      <c r="J26" s="43"/>
    </row>
    <row r="27" spans="1:10" ht="28.5" x14ac:dyDescent="0.2">
      <c r="A27" s="43"/>
      <c r="B27" s="41"/>
      <c r="C27" s="20" t="s">
        <v>59</v>
      </c>
      <c r="D27" s="34">
        <v>1</v>
      </c>
      <c r="E27" s="31">
        <v>3.2</v>
      </c>
      <c r="F27" s="31">
        <v>3.2</v>
      </c>
      <c r="G27" s="30">
        <v>0.28900000000000148</v>
      </c>
      <c r="H27" s="11">
        <f t="shared" si="2"/>
        <v>2.9593600000000158</v>
      </c>
      <c r="I27" s="35"/>
      <c r="J27" s="43"/>
    </row>
    <row r="28" spans="1:10" ht="28.5" x14ac:dyDescent="0.2">
      <c r="A28" s="43"/>
      <c r="B28" s="41"/>
      <c r="C28" s="20" t="s">
        <v>60</v>
      </c>
      <c r="D28" s="34">
        <v>1</v>
      </c>
      <c r="E28" s="31">
        <v>3.2</v>
      </c>
      <c r="F28" s="31">
        <v>3.2</v>
      </c>
      <c r="G28" s="30">
        <v>0.56299999999999883</v>
      </c>
      <c r="H28" s="11">
        <f t="shared" si="2"/>
        <v>5.7651199999999889</v>
      </c>
      <c r="I28" s="35"/>
      <c r="J28" s="43"/>
    </row>
    <row r="29" spans="1:10" ht="28.5" x14ac:dyDescent="0.2">
      <c r="A29" s="154" t="s">
        <v>108</v>
      </c>
      <c r="B29" s="155">
        <v>5.5</v>
      </c>
      <c r="C29" s="20" t="s">
        <v>66</v>
      </c>
      <c r="D29" s="34">
        <v>1</v>
      </c>
      <c r="E29" s="31">
        <v>3.2</v>
      </c>
      <c r="F29" s="31">
        <v>3.2</v>
      </c>
      <c r="G29" s="30">
        <v>0.34600000000000009</v>
      </c>
      <c r="H29" s="11">
        <f t="shared" ref="H29:H30" si="3">+D29*E29*F29*G29</f>
        <v>3.5430400000000017</v>
      </c>
      <c r="I29" s="49"/>
      <c r="J29" s="43"/>
    </row>
    <row r="30" spans="1:10" ht="28.5" x14ac:dyDescent="0.2">
      <c r="A30" s="43"/>
      <c r="B30" s="41"/>
      <c r="C30" s="20" t="s">
        <v>67</v>
      </c>
      <c r="D30" s="34">
        <v>1</v>
      </c>
      <c r="E30" s="31">
        <v>3.2</v>
      </c>
      <c r="F30" s="31">
        <v>3.2</v>
      </c>
      <c r="G30" s="30">
        <v>0.34499999999999886</v>
      </c>
      <c r="H30" s="11">
        <f t="shared" si="3"/>
        <v>3.5327999999999888</v>
      </c>
      <c r="I30" s="49"/>
      <c r="J30" s="43"/>
    </row>
    <row r="31" spans="1:10" ht="23.1" customHeight="1" x14ac:dyDescent="0.2">
      <c r="A31" s="154" t="s">
        <v>108</v>
      </c>
      <c r="B31" s="152" t="s">
        <v>24</v>
      </c>
      <c r="C31" s="153" t="s">
        <v>41</v>
      </c>
      <c r="D31" s="34">
        <v>4</v>
      </c>
      <c r="E31" s="31">
        <v>12</v>
      </c>
      <c r="F31" s="31"/>
      <c r="G31" s="30">
        <v>1.5</v>
      </c>
      <c r="H31" s="11">
        <f>+D31*E31*G31</f>
        <v>72</v>
      </c>
      <c r="I31" s="35"/>
      <c r="J31" s="43"/>
    </row>
    <row r="32" spans="1:10" ht="23.1" customHeight="1" x14ac:dyDescent="0.2">
      <c r="A32" s="154" t="s">
        <v>108</v>
      </c>
      <c r="B32" s="152" t="s">
        <v>25</v>
      </c>
      <c r="C32" s="153" t="s">
        <v>41</v>
      </c>
      <c r="D32" s="34">
        <v>4</v>
      </c>
      <c r="E32" s="31">
        <v>3</v>
      </c>
      <c r="F32" s="31">
        <v>3</v>
      </c>
      <c r="G32" s="30">
        <v>1.5</v>
      </c>
      <c r="H32" s="11">
        <f>+D32*E32*F32*G32</f>
        <v>54</v>
      </c>
      <c r="I32" s="35"/>
      <c r="J32" s="43"/>
    </row>
    <row r="33" spans="1:10" ht="23.1" customHeight="1" x14ac:dyDescent="0.2">
      <c r="A33" s="43"/>
      <c r="B33" s="41"/>
      <c r="C33" s="20"/>
      <c r="D33" s="34"/>
      <c r="E33" s="31"/>
      <c r="F33" s="31"/>
      <c r="G33" s="30"/>
      <c r="H33" s="11"/>
      <c r="I33" s="35"/>
      <c r="J33" s="43"/>
    </row>
    <row r="34" spans="1:10" ht="23.1" customHeight="1" x14ac:dyDescent="0.2">
      <c r="A34" s="43"/>
      <c r="B34" s="41"/>
      <c r="C34" s="20"/>
      <c r="D34" s="34"/>
      <c r="E34" s="31"/>
      <c r="F34" s="31"/>
      <c r="G34" s="30"/>
      <c r="H34" s="11"/>
      <c r="I34" s="35"/>
      <c r="J34" s="43"/>
    </row>
    <row r="35" spans="1:10" ht="23.1" customHeight="1" x14ac:dyDescent="0.2">
      <c r="A35" s="43"/>
      <c r="B35" s="41"/>
      <c r="C35" s="20"/>
      <c r="D35" s="34"/>
      <c r="E35" s="31"/>
      <c r="F35" s="31"/>
      <c r="G35" s="30"/>
      <c r="H35" s="11"/>
      <c r="I35" s="35"/>
      <c r="J35" s="43"/>
    </row>
    <row r="36" spans="1:10" ht="23.1" customHeight="1" x14ac:dyDescent="0.2">
      <c r="A36" s="43"/>
      <c r="B36" s="41"/>
      <c r="C36" s="20"/>
      <c r="D36" s="34"/>
      <c r="E36" s="31"/>
      <c r="F36" s="31"/>
      <c r="G36" s="30"/>
      <c r="H36" s="11"/>
      <c r="I36" s="35"/>
      <c r="J36" s="43"/>
    </row>
    <row r="37" spans="1:10" ht="23.1" customHeight="1" x14ac:dyDescent="0.2">
      <c r="A37" s="43"/>
      <c r="B37" s="41"/>
      <c r="C37" s="20"/>
      <c r="D37" s="34"/>
      <c r="E37" s="31"/>
      <c r="F37" s="31"/>
      <c r="G37" s="30"/>
      <c r="H37" s="11"/>
      <c r="I37" s="35"/>
      <c r="J37" s="43"/>
    </row>
    <row r="38" spans="1:10" ht="23.1" customHeight="1" x14ac:dyDescent="0.2">
      <c r="A38" s="43"/>
      <c r="B38" s="41"/>
      <c r="C38" s="20"/>
      <c r="D38" s="34"/>
      <c r="E38" s="31"/>
      <c r="F38" s="31"/>
      <c r="G38" s="30"/>
      <c r="H38" s="11"/>
      <c r="I38" s="35"/>
      <c r="J38" s="43"/>
    </row>
    <row r="39" spans="1:10" ht="23.1" customHeight="1" x14ac:dyDescent="0.2">
      <c r="A39" s="43"/>
      <c r="B39" s="41"/>
      <c r="C39" s="20"/>
      <c r="D39" s="34"/>
      <c r="E39" s="31"/>
      <c r="F39" s="31"/>
      <c r="G39" s="30"/>
      <c r="H39" s="11"/>
      <c r="I39" s="35"/>
      <c r="J39" s="43"/>
    </row>
    <row r="40" spans="1:10" x14ac:dyDescent="0.2">
      <c r="A40" s="142"/>
      <c r="B40" s="143"/>
      <c r="C40" s="144"/>
      <c r="D40" s="145"/>
      <c r="E40" s="146"/>
      <c r="F40" s="146"/>
      <c r="G40" s="146"/>
      <c r="H40" s="146"/>
      <c r="I40" s="147"/>
    </row>
    <row r="41" spans="1:10" x14ac:dyDescent="0.2">
      <c r="A41" s="44"/>
      <c r="B41" s="15"/>
      <c r="C41" s="19"/>
      <c r="D41" s="46"/>
      <c r="E41" s="33"/>
      <c r="F41" s="33"/>
      <c r="G41" s="33"/>
      <c r="H41" s="33"/>
      <c r="I41" s="37"/>
    </row>
    <row r="42" spans="1:10" x14ac:dyDescent="0.2">
      <c r="A42" s="44"/>
      <c r="B42" s="15"/>
      <c r="C42" s="19"/>
      <c r="D42" s="46"/>
      <c r="E42" s="33"/>
      <c r="F42" s="33"/>
      <c r="G42" s="33"/>
      <c r="H42" s="33"/>
      <c r="I42" s="37"/>
    </row>
    <row r="43" spans="1:10" x14ac:dyDescent="0.2">
      <c r="A43" s="44"/>
      <c r="B43" s="15"/>
      <c r="C43" s="19"/>
      <c r="D43" s="46"/>
      <c r="E43" s="33"/>
      <c r="F43" s="33"/>
      <c r="G43" s="33"/>
      <c r="H43" s="33"/>
      <c r="I43" s="37"/>
    </row>
    <row r="44" spans="1:10" x14ac:dyDescent="0.2">
      <c r="A44" s="44"/>
      <c r="B44" s="15"/>
      <c r="C44" s="19"/>
      <c r="D44" s="46"/>
      <c r="E44" s="33"/>
      <c r="F44" s="33"/>
      <c r="G44" s="33"/>
      <c r="H44" s="33"/>
      <c r="I44" s="37"/>
    </row>
    <row r="45" spans="1:10" x14ac:dyDescent="0.2">
      <c r="A45" s="44"/>
      <c r="B45" s="15"/>
      <c r="C45" s="19"/>
      <c r="D45" s="46"/>
      <c r="E45" s="33"/>
      <c r="F45" s="33"/>
      <c r="G45" s="33"/>
      <c r="H45" s="33"/>
      <c r="I45" s="37"/>
    </row>
    <row r="46" spans="1:10" x14ac:dyDescent="0.2">
      <c r="A46" s="44"/>
      <c r="B46" s="15"/>
      <c r="C46" s="19"/>
      <c r="D46" s="46"/>
      <c r="E46" s="33"/>
      <c r="F46" s="33"/>
      <c r="G46" s="33"/>
      <c r="H46" s="33"/>
      <c r="I46" s="37"/>
    </row>
    <row r="47" spans="1:10" x14ac:dyDescent="0.2">
      <c r="A47" s="44"/>
      <c r="B47" s="15"/>
      <c r="C47" s="19"/>
      <c r="D47" s="46"/>
      <c r="E47" s="33"/>
      <c r="F47" s="33"/>
      <c r="G47" s="33"/>
      <c r="H47" s="33"/>
      <c r="I47" s="37"/>
    </row>
    <row r="48" spans="1:10" x14ac:dyDescent="0.2">
      <c r="A48" s="44"/>
      <c r="B48" s="15"/>
      <c r="C48" s="19"/>
      <c r="D48" s="46"/>
      <c r="E48" s="33"/>
      <c r="F48" s="33"/>
      <c r="G48" s="33"/>
      <c r="H48" s="33"/>
      <c r="I48" s="37"/>
    </row>
    <row r="49" spans="1:9" x14ac:dyDescent="0.2">
      <c r="A49" s="44"/>
      <c r="B49" s="15"/>
      <c r="C49" s="19"/>
      <c r="D49" s="46"/>
      <c r="E49" s="33"/>
      <c r="F49" s="33"/>
      <c r="G49" s="33"/>
      <c r="H49" s="33"/>
      <c r="I49" s="37"/>
    </row>
    <row r="50" spans="1:9" x14ac:dyDescent="0.2">
      <c r="A50" s="44"/>
      <c r="B50" s="15"/>
      <c r="C50" s="19"/>
      <c r="D50" s="46"/>
      <c r="E50" s="33"/>
      <c r="F50" s="33"/>
      <c r="G50" s="33"/>
      <c r="H50" s="33"/>
      <c r="I50" s="37"/>
    </row>
    <row r="51" spans="1:9" x14ac:dyDescent="0.2">
      <c r="A51" s="44"/>
      <c r="B51" s="15"/>
      <c r="C51" s="19"/>
      <c r="D51" s="46"/>
      <c r="E51" s="33"/>
      <c r="F51" s="33"/>
      <c r="G51" s="33"/>
      <c r="H51" s="33"/>
      <c r="I51" s="37"/>
    </row>
    <row r="52" spans="1:9" x14ac:dyDescent="0.2">
      <c r="A52" s="44"/>
      <c r="B52" s="15"/>
      <c r="C52" s="19"/>
      <c r="D52" s="46"/>
      <c r="E52" s="33"/>
      <c r="F52" s="33"/>
      <c r="G52" s="33"/>
      <c r="H52" s="33"/>
      <c r="I52" s="37"/>
    </row>
    <row r="53" spans="1:9" x14ac:dyDescent="0.2">
      <c r="A53" s="44"/>
      <c r="B53" s="15"/>
      <c r="C53" s="19"/>
      <c r="D53" s="46"/>
      <c r="E53" s="33"/>
      <c r="F53" s="33"/>
      <c r="G53" s="33"/>
      <c r="H53" s="33"/>
      <c r="I53" s="37"/>
    </row>
    <row r="54" spans="1:9" x14ac:dyDescent="0.2">
      <c r="A54" s="44"/>
      <c r="B54" s="15"/>
      <c r="C54" s="19"/>
      <c r="D54" s="46"/>
      <c r="E54" s="33"/>
      <c r="F54" s="33"/>
      <c r="G54" s="33"/>
      <c r="H54" s="33"/>
      <c r="I54" s="37"/>
    </row>
    <row r="55" spans="1:9" x14ac:dyDescent="0.2">
      <c r="A55" s="44"/>
      <c r="B55" s="15"/>
      <c r="C55" s="19"/>
      <c r="D55" s="46"/>
      <c r="E55" s="33"/>
      <c r="F55" s="33"/>
      <c r="G55" s="33"/>
      <c r="H55" s="33"/>
      <c r="I55" s="37"/>
    </row>
    <row r="56" spans="1:9" x14ac:dyDescent="0.2">
      <c r="A56" s="44"/>
      <c r="B56" s="15"/>
      <c r="C56" s="19"/>
      <c r="D56" s="46"/>
      <c r="E56" s="33"/>
      <c r="F56" s="33"/>
      <c r="G56" s="33"/>
      <c r="H56" s="33"/>
      <c r="I56" s="37"/>
    </row>
    <row r="57" spans="1:9" x14ac:dyDescent="0.2">
      <c r="A57" s="44"/>
      <c r="B57" s="15"/>
      <c r="C57" s="19"/>
      <c r="D57" s="46"/>
      <c r="E57" s="33"/>
      <c r="F57" s="33"/>
      <c r="G57" s="33"/>
      <c r="H57" s="33"/>
      <c r="I57" s="37"/>
    </row>
    <row r="58" spans="1:9" x14ac:dyDescent="0.2">
      <c r="A58" s="44"/>
      <c r="B58" s="15"/>
      <c r="C58" s="19"/>
      <c r="D58" s="46"/>
      <c r="E58" s="33"/>
      <c r="F58" s="33"/>
      <c r="G58" s="33"/>
      <c r="H58" s="33"/>
      <c r="I58" s="37"/>
    </row>
    <row r="59" spans="1:9" x14ac:dyDescent="0.2">
      <c r="A59" s="44"/>
      <c r="B59" s="15"/>
      <c r="C59" s="19"/>
      <c r="D59" s="46"/>
      <c r="E59" s="33"/>
      <c r="F59" s="33"/>
      <c r="G59" s="33"/>
      <c r="H59" s="33"/>
      <c r="I59" s="37"/>
    </row>
    <row r="60" spans="1:9" x14ac:dyDescent="0.2">
      <c r="A60" s="44"/>
      <c r="B60" s="15"/>
      <c r="C60" s="19"/>
      <c r="D60" s="46"/>
      <c r="E60" s="33"/>
      <c r="F60" s="33"/>
      <c r="G60" s="33"/>
      <c r="H60" s="33"/>
      <c r="I60" s="37"/>
    </row>
    <row r="61" spans="1:9" x14ac:dyDescent="0.2">
      <c r="A61" s="44"/>
      <c r="B61" s="15"/>
      <c r="C61" s="19"/>
      <c r="D61" s="46"/>
      <c r="E61" s="33"/>
      <c r="F61" s="33"/>
      <c r="G61" s="33"/>
      <c r="H61" s="33"/>
      <c r="I61" s="37"/>
    </row>
    <row r="62" spans="1:9" x14ac:dyDescent="0.2">
      <c r="A62" s="14"/>
      <c r="B62" s="15"/>
      <c r="C62" s="19"/>
      <c r="D62" s="46"/>
      <c r="E62" s="33"/>
      <c r="F62" s="33"/>
      <c r="G62" s="33"/>
      <c r="H62" s="33"/>
      <c r="I62" s="37"/>
    </row>
    <row r="63" spans="1:9" x14ac:dyDescent="0.2">
      <c r="A63" s="14"/>
      <c r="B63" s="15"/>
      <c r="C63" s="19"/>
      <c r="D63" s="46"/>
      <c r="E63" s="33"/>
      <c r="F63" s="33"/>
      <c r="G63" s="33"/>
      <c r="H63" s="33"/>
      <c r="I63" s="37"/>
    </row>
    <row r="64" spans="1:9" x14ac:dyDescent="0.2">
      <c r="A64" s="14"/>
      <c r="B64" s="15"/>
      <c r="C64" s="19"/>
      <c r="D64" s="46"/>
      <c r="E64" s="33"/>
      <c r="F64" s="33"/>
      <c r="G64" s="33"/>
      <c r="H64" s="33"/>
      <c r="I64" s="37"/>
    </row>
    <row r="65" spans="1:9" x14ac:dyDescent="0.2">
      <c r="A65" s="14"/>
      <c r="B65" s="15"/>
      <c r="C65" s="19"/>
      <c r="D65" s="46"/>
      <c r="E65" s="33"/>
      <c r="F65" s="33"/>
      <c r="G65" s="33"/>
      <c r="H65" s="33"/>
      <c r="I65" s="37"/>
    </row>
    <row r="66" spans="1:9" x14ac:dyDescent="0.2">
      <c r="A66" s="14"/>
      <c r="B66" s="15"/>
      <c r="C66" s="19"/>
      <c r="D66" s="46"/>
      <c r="E66" s="33"/>
      <c r="F66" s="33"/>
      <c r="G66" s="33"/>
      <c r="H66" s="33"/>
      <c r="I66" s="37"/>
    </row>
    <row r="67" spans="1:9" x14ac:dyDescent="0.2">
      <c r="A67" s="14"/>
      <c r="B67" s="15"/>
      <c r="C67" s="19"/>
      <c r="D67" s="46"/>
      <c r="E67" s="33"/>
      <c r="F67" s="33"/>
      <c r="G67" s="33"/>
      <c r="H67" s="33"/>
      <c r="I67" s="37"/>
    </row>
    <row r="68" spans="1:9" x14ac:dyDescent="0.2">
      <c r="A68" s="14"/>
      <c r="B68" s="15"/>
      <c r="C68" s="19"/>
      <c r="D68" s="46"/>
      <c r="E68" s="33"/>
      <c r="F68" s="33"/>
      <c r="G68" s="33"/>
      <c r="H68" s="33"/>
      <c r="I68" s="37"/>
    </row>
    <row r="69" spans="1:9" x14ac:dyDescent="0.2">
      <c r="A69" s="16"/>
      <c r="B69" s="17"/>
      <c r="C69" s="22"/>
      <c r="D69" s="38"/>
      <c r="E69" s="16"/>
      <c r="F69" s="16"/>
      <c r="G69" s="16"/>
      <c r="H69" s="16"/>
      <c r="I69" s="38"/>
    </row>
    <row r="70" spans="1:9" x14ac:dyDescent="0.2">
      <c r="A70" s="16"/>
      <c r="B70" s="17"/>
      <c r="C70" s="22"/>
      <c r="D70" s="38"/>
      <c r="E70" s="16"/>
      <c r="F70" s="16"/>
      <c r="G70" s="16"/>
      <c r="H70" s="16"/>
      <c r="I70" s="38"/>
    </row>
    <row r="71" spans="1:9" x14ac:dyDescent="0.2">
      <c r="A71" s="16"/>
      <c r="B71" s="17"/>
      <c r="C71" s="22"/>
      <c r="D71" s="38"/>
      <c r="E71" s="16"/>
      <c r="F71" s="16"/>
      <c r="G71" s="16"/>
      <c r="H71" s="16"/>
      <c r="I71" s="38"/>
    </row>
    <row r="72" spans="1:9" x14ac:dyDescent="0.2">
      <c r="A72" s="16"/>
      <c r="B72" s="17"/>
      <c r="C72" s="22"/>
      <c r="D72" s="38"/>
      <c r="E72" s="16"/>
      <c r="F72" s="16"/>
      <c r="G72" s="16"/>
      <c r="H72" s="16"/>
      <c r="I72" s="38"/>
    </row>
    <row r="73" spans="1:9" x14ac:dyDescent="0.2">
      <c r="A73" s="16"/>
      <c r="B73" s="17"/>
      <c r="C73" s="22"/>
      <c r="D73" s="38"/>
      <c r="E73" s="16"/>
      <c r="F73" s="16"/>
      <c r="G73" s="16"/>
      <c r="H73" s="16"/>
      <c r="I73" s="38"/>
    </row>
    <row r="74" spans="1:9" x14ac:dyDescent="0.2">
      <c r="A74" s="16"/>
      <c r="B74" s="17"/>
      <c r="C74" s="22"/>
      <c r="D74" s="38"/>
      <c r="E74" s="16"/>
      <c r="F74" s="16"/>
      <c r="G74" s="16"/>
      <c r="H74" s="16"/>
      <c r="I74" s="38"/>
    </row>
    <row r="75" spans="1:9" x14ac:dyDescent="0.2">
      <c r="A75" s="16"/>
      <c r="B75" s="17"/>
      <c r="C75" s="22"/>
      <c r="D75" s="38"/>
      <c r="E75" s="16"/>
      <c r="F75" s="16"/>
      <c r="G75" s="16"/>
      <c r="H75" s="16"/>
      <c r="I75" s="38"/>
    </row>
    <row r="76" spans="1:9" x14ac:dyDescent="0.2">
      <c r="A76" s="16"/>
      <c r="B76" s="17"/>
      <c r="C76" s="22"/>
      <c r="D76" s="38"/>
      <c r="E76" s="16"/>
      <c r="F76" s="16"/>
      <c r="G76" s="16"/>
      <c r="H76" s="16"/>
      <c r="I76" s="38"/>
    </row>
    <row r="77" spans="1:9" x14ac:dyDescent="0.2">
      <c r="A77" s="16"/>
      <c r="B77" s="17"/>
      <c r="C77" s="22"/>
      <c r="D77" s="38"/>
      <c r="E77" s="16"/>
      <c r="F77" s="16"/>
      <c r="G77" s="16"/>
      <c r="H77" s="16"/>
      <c r="I77" s="38"/>
    </row>
    <row r="78" spans="1:9" x14ac:dyDescent="0.2">
      <c r="A78" s="16"/>
      <c r="B78" s="17"/>
      <c r="C78" s="22"/>
      <c r="D78" s="38"/>
      <c r="E78" s="16"/>
      <c r="F78" s="16"/>
      <c r="G78" s="16"/>
      <c r="H78" s="16"/>
      <c r="I78" s="38"/>
    </row>
    <row r="79" spans="1:9" x14ac:dyDescent="0.2">
      <c r="A79" s="16"/>
      <c r="B79" s="17"/>
      <c r="C79" s="22"/>
      <c r="D79" s="38"/>
      <c r="E79" s="16"/>
      <c r="F79" s="16"/>
      <c r="G79" s="16"/>
      <c r="H79" s="16"/>
      <c r="I79" s="38"/>
    </row>
    <row r="80" spans="1:9" x14ac:dyDescent="0.2">
      <c r="A80" s="16"/>
      <c r="B80" s="17"/>
      <c r="C80" s="22"/>
      <c r="D80" s="38"/>
      <c r="E80" s="16"/>
      <c r="F80" s="16"/>
      <c r="G80" s="16"/>
      <c r="H80" s="16"/>
      <c r="I80" s="38"/>
    </row>
    <row r="81" spans="1:9" x14ac:dyDescent="0.2">
      <c r="A81" s="16"/>
      <c r="B81" s="17"/>
      <c r="C81" s="22"/>
      <c r="D81" s="38"/>
      <c r="E81" s="16"/>
      <c r="F81" s="16"/>
      <c r="G81" s="16"/>
      <c r="H81" s="16"/>
      <c r="I81" s="38"/>
    </row>
    <row r="82" spans="1:9" x14ac:dyDescent="0.2">
      <c r="A82" s="16"/>
      <c r="B82" s="17"/>
      <c r="C82" s="22"/>
      <c r="D82" s="38"/>
      <c r="E82" s="16"/>
      <c r="F82" s="16"/>
      <c r="G82" s="16"/>
      <c r="H82" s="16"/>
      <c r="I82" s="38"/>
    </row>
    <row r="83" spans="1:9" x14ac:dyDescent="0.2">
      <c r="A83" s="16"/>
      <c r="B83" s="17"/>
      <c r="C83" s="22"/>
      <c r="D83" s="38"/>
      <c r="E83" s="16"/>
      <c r="F83" s="16"/>
      <c r="G83" s="16"/>
      <c r="H83" s="16"/>
      <c r="I83" s="38"/>
    </row>
    <row r="84" spans="1:9" x14ac:dyDescent="0.2">
      <c r="A84" s="16"/>
      <c r="B84" s="17"/>
      <c r="C84" s="22"/>
      <c r="D84" s="38"/>
      <c r="E84" s="16"/>
      <c r="F84" s="16"/>
      <c r="G84" s="16"/>
      <c r="H84" s="16"/>
      <c r="I84" s="38"/>
    </row>
    <row r="85" spans="1:9" x14ac:dyDescent="0.2">
      <c r="A85" s="16"/>
      <c r="B85" s="17"/>
      <c r="C85" s="22"/>
      <c r="D85" s="38"/>
      <c r="E85" s="16"/>
      <c r="F85" s="16"/>
      <c r="G85" s="16"/>
      <c r="H85" s="16"/>
      <c r="I85" s="38"/>
    </row>
    <row r="86" spans="1:9" x14ac:dyDescent="0.2">
      <c r="A86" s="16"/>
      <c r="B86" s="17"/>
      <c r="C86" s="22"/>
      <c r="D86" s="38"/>
      <c r="E86" s="16"/>
      <c r="F86" s="16"/>
      <c r="G86" s="16"/>
      <c r="H86" s="16"/>
      <c r="I86" s="38"/>
    </row>
    <row r="87" spans="1:9" x14ac:dyDescent="0.2">
      <c r="A87" s="16"/>
      <c r="B87" s="17"/>
      <c r="C87" s="22"/>
      <c r="D87" s="38"/>
      <c r="E87" s="16"/>
      <c r="F87" s="16"/>
      <c r="G87" s="16"/>
      <c r="H87" s="16"/>
      <c r="I87" s="38"/>
    </row>
    <row r="88" spans="1:9" x14ac:dyDescent="0.2">
      <c r="A88" s="16"/>
      <c r="B88" s="17"/>
      <c r="C88" s="22"/>
      <c r="D88" s="38"/>
      <c r="E88" s="16"/>
      <c r="F88" s="16"/>
      <c r="G88" s="16"/>
      <c r="H88" s="16"/>
      <c r="I88" s="38"/>
    </row>
    <row r="89" spans="1:9" x14ac:dyDescent="0.2">
      <c r="A89" s="16"/>
      <c r="B89" s="17"/>
      <c r="C89" s="22"/>
      <c r="D89" s="38"/>
      <c r="E89" s="16"/>
      <c r="F89" s="16"/>
      <c r="G89" s="16"/>
      <c r="H89" s="16"/>
      <c r="I89" s="38"/>
    </row>
    <row r="90" spans="1:9" x14ac:dyDescent="0.2">
      <c r="A90" s="16"/>
      <c r="B90" s="17"/>
      <c r="C90" s="22"/>
      <c r="D90" s="38"/>
      <c r="E90" s="16"/>
      <c r="F90" s="16"/>
      <c r="G90" s="16"/>
      <c r="H90" s="16"/>
      <c r="I90" s="38"/>
    </row>
    <row r="91" spans="1:9" x14ac:dyDescent="0.2">
      <c r="A91" s="16"/>
      <c r="B91" s="17"/>
      <c r="C91" s="22"/>
      <c r="D91" s="38"/>
      <c r="E91" s="16"/>
      <c r="F91" s="16"/>
      <c r="G91" s="16"/>
      <c r="H91" s="16"/>
      <c r="I91" s="38"/>
    </row>
    <row r="92" spans="1:9" x14ac:dyDescent="0.2">
      <c r="A92" s="16"/>
      <c r="B92" s="17"/>
      <c r="C92" s="22"/>
      <c r="D92" s="38"/>
      <c r="E92" s="16"/>
      <c r="F92" s="16"/>
      <c r="G92" s="16"/>
      <c r="H92" s="16"/>
      <c r="I92" s="38"/>
    </row>
    <row r="93" spans="1:9" x14ac:dyDescent="0.2">
      <c r="A93" s="16"/>
      <c r="B93" s="17"/>
      <c r="C93" s="22"/>
      <c r="D93" s="38"/>
      <c r="E93" s="16"/>
      <c r="F93" s="16"/>
      <c r="G93" s="16"/>
      <c r="H93" s="16"/>
      <c r="I93" s="38"/>
    </row>
    <row r="94" spans="1:9" x14ac:dyDescent="0.2">
      <c r="A94" s="16"/>
      <c r="B94" s="17"/>
      <c r="C94" s="22"/>
      <c r="D94" s="38"/>
      <c r="E94" s="16"/>
      <c r="F94" s="16"/>
      <c r="G94" s="16"/>
      <c r="H94" s="16"/>
      <c r="I94" s="38"/>
    </row>
    <row r="95" spans="1:9" x14ac:dyDescent="0.2">
      <c r="A95" s="16"/>
      <c r="B95" s="17"/>
      <c r="C95" s="22"/>
      <c r="D95" s="38"/>
      <c r="E95" s="16"/>
      <c r="F95" s="16"/>
      <c r="G95" s="16"/>
      <c r="H95" s="16"/>
      <c r="I95" s="38"/>
    </row>
    <row r="96" spans="1:9" x14ac:dyDescent="0.2">
      <c r="A96" s="16"/>
      <c r="B96" s="17"/>
      <c r="C96" s="22"/>
      <c r="D96" s="38"/>
      <c r="E96" s="16"/>
      <c r="F96" s="16"/>
      <c r="G96" s="16"/>
      <c r="H96" s="16"/>
      <c r="I96" s="38"/>
    </row>
    <row r="97" spans="1:9" x14ac:dyDescent="0.2">
      <c r="A97" s="16"/>
      <c r="B97" s="17"/>
      <c r="C97" s="22"/>
      <c r="D97" s="38"/>
      <c r="E97" s="16"/>
      <c r="F97" s="16"/>
      <c r="G97" s="16"/>
      <c r="H97" s="16"/>
      <c r="I97" s="38"/>
    </row>
    <row r="98" spans="1:9" x14ac:dyDescent="0.2">
      <c r="A98" s="16"/>
      <c r="B98" s="17"/>
      <c r="C98" s="22"/>
      <c r="D98" s="38"/>
      <c r="E98" s="16"/>
      <c r="F98" s="16"/>
      <c r="G98" s="16"/>
      <c r="H98" s="16"/>
      <c r="I98" s="38"/>
    </row>
    <row r="99" spans="1:9" x14ac:dyDescent="0.2">
      <c r="A99" s="16"/>
      <c r="B99" s="17"/>
      <c r="C99" s="22"/>
      <c r="D99" s="38"/>
      <c r="E99" s="16"/>
      <c r="F99" s="16"/>
      <c r="G99" s="16"/>
      <c r="H99" s="16"/>
      <c r="I99" s="38"/>
    </row>
    <row r="100" spans="1:9" x14ac:dyDescent="0.2">
      <c r="A100" s="16"/>
      <c r="B100" s="17"/>
      <c r="C100" s="22"/>
      <c r="D100" s="38"/>
      <c r="E100" s="16"/>
      <c r="F100" s="16"/>
      <c r="G100" s="16"/>
      <c r="H100" s="16"/>
      <c r="I100" s="38"/>
    </row>
    <row r="101" spans="1:9" x14ac:dyDescent="0.2">
      <c r="A101" s="16"/>
      <c r="B101" s="17"/>
      <c r="C101" s="22"/>
      <c r="D101" s="38"/>
      <c r="E101" s="16"/>
      <c r="F101" s="16"/>
      <c r="G101" s="16"/>
      <c r="H101" s="16"/>
      <c r="I101" s="38"/>
    </row>
    <row r="102" spans="1:9" x14ac:dyDescent="0.2">
      <c r="A102" s="16"/>
      <c r="B102" s="17"/>
      <c r="C102" s="22"/>
      <c r="D102" s="38"/>
      <c r="E102" s="16"/>
      <c r="F102" s="16"/>
      <c r="G102" s="16"/>
      <c r="H102" s="16"/>
      <c r="I102" s="38"/>
    </row>
    <row r="103" spans="1:9" x14ac:dyDescent="0.2">
      <c r="A103" s="16"/>
      <c r="B103" s="17"/>
      <c r="C103" s="22"/>
      <c r="D103" s="38"/>
      <c r="E103" s="16"/>
      <c r="F103" s="16"/>
      <c r="G103" s="16"/>
      <c r="H103" s="16"/>
      <c r="I103" s="38"/>
    </row>
    <row r="104" spans="1:9" x14ac:dyDescent="0.2">
      <c r="A104" s="16"/>
      <c r="B104" s="17"/>
      <c r="C104" s="22"/>
      <c r="D104" s="38"/>
      <c r="E104" s="16"/>
      <c r="F104" s="16"/>
      <c r="G104" s="16"/>
      <c r="H104" s="16"/>
      <c r="I104" s="38"/>
    </row>
    <row r="105" spans="1:9" x14ac:dyDescent="0.2">
      <c r="A105" s="16"/>
      <c r="B105" s="17"/>
      <c r="C105" s="22"/>
      <c r="D105" s="38"/>
      <c r="E105" s="16"/>
      <c r="F105" s="16"/>
      <c r="G105" s="16"/>
      <c r="H105" s="16"/>
      <c r="I105" s="38"/>
    </row>
    <row r="106" spans="1:9" x14ac:dyDescent="0.2">
      <c r="A106" s="16"/>
      <c r="B106" s="17"/>
      <c r="C106" s="22"/>
      <c r="D106" s="38"/>
      <c r="E106" s="16"/>
      <c r="F106" s="16"/>
      <c r="G106" s="16"/>
      <c r="H106" s="16"/>
      <c r="I106" s="38"/>
    </row>
    <row r="107" spans="1:9" x14ac:dyDescent="0.2">
      <c r="A107" s="16"/>
      <c r="B107" s="17"/>
      <c r="C107" s="22"/>
      <c r="D107" s="38"/>
      <c r="E107" s="16"/>
      <c r="F107" s="16"/>
      <c r="G107" s="16"/>
      <c r="H107" s="16"/>
      <c r="I107" s="38"/>
    </row>
    <row r="108" spans="1:9" x14ac:dyDescent="0.2">
      <c r="A108" s="16"/>
      <c r="B108" s="17"/>
      <c r="C108" s="22"/>
      <c r="D108" s="38"/>
      <c r="E108" s="16"/>
      <c r="F108" s="16"/>
      <c r="G108" s="16"/>
      <c r="H108" s="16"/>
      <c r="I108" s="38"/>
    </row>
    <row r="109" spans="1:9" x14ac:dyDescent="0.2">
      <c r="A109" s="16"/>
      <c r="B109" s="17"/>
      <c r="C109" s="22"/>
      <c r="D109" s="38"/>
      <c r="E109" s="16"/>
      <c r="F109" s="16"/>
      <c r="G109" s="16"/>
      <c r="H109" s="16"/>
      <c r="I109" s="38"/>
    </row>
    <row r="110" spans="1:9" x14ac:dyDescent="0.2">
      <c r="A110" s="16"/>
      <c r="B110" s="17"/>
      <c r="C110" s="22"/>
      <c r="D110" s="38"/>
      <c r="E110" s="16"/>
      <c r="F110" s="16"/>
      <c r="G110" s="16"/>
      <c r="H110" s="16"/>
      <c r="I110" s="38"/>
    </row>
    <row r="111" spans="1:9" x14ac:dyDescent="0.2">
      <c r="A111" s="16"/>
      <c r="B111" s="17"/>
      <c r="C111" s="22"/>
      <c r="D111" s="38"/>
      <c r="E111" s="16"/>
      <c r="F111" s="16"/>
      <c r="G111" s="16"/>
      <c r="H111" s="16"/>
      <c r="I111" s="38"/>
    </row>
    <row r="112" spans="1:9" x14ac:dyDescent="0.2">
      <c r="A112" s="16"/>
      <c r="B112" s="17"/>
      <c r="C112" s="22"/>
      <c r="D112" s="38"/>
      <c r="E112" s="16"/>
      <c r="F112" s="16"/>
      <c r="G112" s="16"/>
      <c r="H112" s="16"/>
      <c r="I112" s="38"/>
    </row>
    <row r="113" spans="1:9" x14ac:dyDescent="0.2">
      <c r="A113" s="16"/>
      <c r="B113" s="17"/>
      <c r="C113" s="22"/>
      <c r="D113" s="38"/>
      <c r="E113" s="16"/>
      <c r="F113" s="16"/>
      <c r="G113" s="16"/>
      <c r="H113" s="16"/>
      <c r="I113" s="38"/>
    </row>
    <row r="114" spans="1:9" x14ac:dyDescent="0.2">
      <c r="A114" s="16"/>
      <c r="B114" s="17"/>
      <c r="C114" s="22"/>
      <c r="D114" s="38"/>
      <c r="E114" s="16"/>
      <c r="F114" s="16"/>
      <c r="G114" s="16"/>
      <c r="H114" s="16"/>
      <c r="I114" s="38"/>
    </row>
    <row r="115" spans="1:9" x14ac:dyDescent="0.2">
      <c r="A115" s="16"/>
      <c r="B115" s="17"/>
      <c r="C115" s="22"/>
      <c r="D115" s="38"/>
      <c r="E115" s="16"/>
      <c r="F115" s="16"/>
      <c r="G115" s="16"/>
      <c r="H115" s="16"/>
      <c r="I115" s="38"/>
    </row>
    <row r="116" spans="1:9" x14ac:dyDescent="0.2">
      <c r="A116" s="16"/>
      <c r="B116" s="17"/>
      <c r="C116" s="22"/>
      <c r="D116" s="38"/>
      <c r="E116" s="16"/>
      <c r="F116" s="16"/>
      <c r="G116" s="16"/>
      <c r="H116" s="16"/>
      <c r="I116" s="38"/>
    </row>
    <row r="117" spans="1:9" x14ac:dyDescent="0.2">
      <c r="A117" s="16"/>
      <c r="B117" s="17"/>
      <c r="C117" s="22"/>
      <c r="D117" s="38"/>
      <c r="E117" s="16"/>
      <c r="F117" s="16"/>
      <c r="G117" s="16"/>
      <c r="H117" s="16"/>
      <c r="I117" s="38"/>
    </row>
    <row r="118" spans="1:9" x14ac:dyDescent="0.2">
      <c r="A118" s="16"/>
      <c r="B118" s="17"/>
      <c r="C118" s="22"/>
      <c r="D118" s="38"/>
      <c r="E118" s="16"/>
      <c r="F118" s="16"/>
      <c r="G118" s="16"/>
      <c r="H118" s="16"/>
      <c r="I118" s="38"/>
    </row>
    <row r="119" spans="1:9" x14ac:dyDescent="0.2">
      <c r="A119" s="16"/>
      <c r="B119" s="17"/>
      <c r="C119" s="22"/>
      <c r="D119" s="38"/>
      <c r="E119" s="16"/>
      <c r="F119" s="16"/>
      <c r="G119" s="16"/>
      <c r="H119" s="16"/>
      <c r="I119" s="38"/>
    </row>
    <row r="120" spans="1:9" x14ac:dyDescent="0.2">
      <c r="A120" s="16"/>
      <c r="B120" s="17"/>
      <c r="C120" s="22"/>
      <c r="D120" s="38"/>
      <c r="E120" s="16"/>
      <c r="F120" s="16"/>
      <c r="G120" s="16"/>
      <c r="H120" s="16"/>
      <c r="I120" s="38"/>
    </row>
    <row r="121" spans="1:9" x14ac:dyDescent="0.2">
      <c r="A121" s="16"/>
      <c r="B121" s="17"/>
      <c r="C121" s="22"/>
      <c r="D121" s="38"/>
      <c r="E121" s="16"/>
      <c r="F121" s="16"/>
      <c r="G121" s="16"/>
      <c r="H121" s="16"/>
      <c r="I121" s="38"/>
    </row>
    <row r="122" spans="1:9" x14ac:dyDescent="0.2">
      <c r="A122" s="16"/>
      <c r="B122" s="17"/>
      <c r="C122" s="22"/>
      <c r="D122" s="38"/>
      <c r="E122" s="16"/>
      <c r="F122" s="16"/>
      <c r="G122" s="16"/>
      <c r="H122" s="16"/>
      <c r="I122" s="38"/>
    </row>
    <row r="123" spans="1:9" x14ac:dyDescent="0.2">
      <c r="A123" s="16"/>
      <c r="B123" s="17"/>
      <c r="C123" s="22"/>
      <c r="D123" s="38"/>
      <c r="E123" s="16"/>
      <c r="F123" s="16"/>
      <c r="G123" s="16"/>
      <c r="H123" s="16"/>
      <c r="I123" s="38"/>
    </row>
    <row r="124" spans="1:9" x14ac:dyDescent="0.2">
      <c r="A124" s="16"/>
      <c r="B124" s="17"/>
      <c r="C124" s="22"/>
      <c r="D124" s="38"/>
      <c r="E124" s="16"/>
      <c r="F124" s="16"/>
      <c r="G124" s="16"/>
      <c r="H124" s="16"/>
      <c r="I124" s="38"/>
    </row>
    <row r="125" spans="1:9" x14ac:dyDescent="0.2">
      <c r="A125" s="16"/>
      <c r="B125" s="17"/>
      <c r="C125" s="22"/>
      <c r="D125" s="38"/>
      <c r="E125" s="16"/>
      <c r="F125" s="16"/>
      <c r="G125" s="16"/>
      <c r="H125" s="16"/>
      <c r="I125" s="38"/>
    </row>
    <row r="126" spans="1:9" x14ac:dyDescent="0.2">
      <c r="A126" s="16"/>
      <c r="B126" s="17"/>
      <c r="C126" s="22"/>
      <c r="D126" s="38"/>
      <c r="E126" s="16"/>
      <c r="F126" s="16"/>
      <c r="G126" s="16"/>
      <c r="H126" s="16"/>
      <c r="I126" s="38"/>
    </row>
    <row r="127" spans="1:9" x14ac:dyDescent="0.2">
      <c r="A127" s="16"/>
      <c r="B127" s="17"/>
      <c r="C127" s="22"/>
      <c r="D127" s="38"/>
      <c r="E127" s="16"/>
      <c r="F127" s="16"/>
      <c r="G127" s="16"/>
      <c r="H127" s="16"/>
      <c r="I127" s="38"/>
    </row>
    <row r="128" spans="1:9" x14ac:dyDescent="0.2">
      <c r="A128" s="16"/>
      <c r="B128" s="17"/>
      <c r="C128" s="22"/>
      <c r="D128" s="38"/>
      <c r="E128" s="16"/>
      <c r="F128" s="16"/>
      <c r="G128" s="16"/>
      <c r="H128" s="16"/>
      <c r="I128" s="38"/>
    </row>
    <row r="129" spans="1:9" x14ac:dyDescent="0.2">
      <c r="A129" s="16"/>
      <c r="B129" s="17"/>
      <c r="C129" s="22"/>
      <c r="D129" s="38"/>
      <c r="E129" s="16"/>
      <c r="F129" s="16"/>
      <c r="G129" s="16"/>
      <c r="H129" s="16"/>
      <c r="I129" s="38"/>
    </row>
    <row r="130" spans="1:9" x14ac:dyDescent="0.2">
      <c r="A130" s="16"/>
      <c r="B130" s="17"/>
      <c r="C130" s="22"/>
      <c r="D130" s="38"/>
      <c r="E130" s="16"/>
      <c r="F130" s="16"/>
      <c r="G130" s="16"/>
      <c r="H130" s="16"/>
      <c r="I130" s="38"/>
    </row>
    <row r="131" spans="1:9" x14ac:dyDescent="0.2">
      <c r="A131" s="16"/>
      <c r="B131" s="17"/>
      <c r="C131" s="22"/>
      <c r="D131" s="38"/>
      <c r="E131" s="16"/>
      <c r="F131" s="16"/>
      <c r="G131" s="16"/>
      <c r="H131" s="16"/>
      <c r="I131" s="38"/>
    </row>
    <row r="132" spans="1:9" x14ac:dyDescent="0.2">
      <c r="A132" s="16"/>
      <c r="B132" s="17"/>
      <c r="C132" s="22"/>
      <c r="D132" s="38"/>
      <c r="E132" s="16"/>
      <c r="F132" s="16"/>
      <c r="G132" s="16"/>
      <c r="H132" s="16"/>
      <c r="I132" s="38"/>
    </row>
    <row r="133" spans="1:9" x14ac:dyDescent="0.2">
      <c r="A133" s="16"/>
      <c r="B133" s="17"/>
      <c r="C133" s="22"/>
      <c r="D133" s="38"/>
      <c r="E133" s="16"/>
      <c r="F133" s="16"/>
      <c r="G133" s="16"/>
      <c r="H133" s="16"/>
      <c r="I133" s="38"/>
    </row>
    <row r="134" spans="1:9" x14ac:dyDescent="0.2">
      <c r="A134" s="16"/>
      <c r="B134" s="17"/>
      <c r="C134" s="22"/>
      <c r="D134" s="38"/>
      <c r="E134" s="16"/>
      <c r="F134" s="16"/>
      <c r="G134" s="16"/>
      <c r="H134" s="16"/>
      <c r="I134" s="38"/>
    </row>
    <row r="135" spans="1:9" x14ac:dyDescent="0.2">
      <c r="A135" s="16"/>
      <c r="B135" s="17"/>
      <c r="C135" s="22"/>
      <c r="D135" s="38"/>
      <c r="E135" s="16"/>
      <c r="F135" s="16"/>
      <c r="G135" s="16"/>
      <c r="H135" s="16"/>
      <c r="I135" s="38"/>
    </row>
    <row r="136" spans="1:9" x14ac:dyDescent="0.2">
      <c r="A136" s="16"/>
      <c r="B136" s="17"/>
      <c r="C136" s="22"/>
      <c r="D136" s="38"/>
      <c r="E136" s="16"/>
      <c r="F136" s="16"/>
      <c r="G136" s="16"/>
      <c r="H136" s="16"/>
      <c r="I136" s="38"/>
    </row>
    <row r="137" spans="1:9" x14ac:dyDescent="0.2">
      <c r="A137" s="16"/>
      <c r="B137" s="17"/>
      <c r="C137" s="22"/>
      <c r="D137" s="38"/>
      <c r="E137" s="16"/>
      <c r="F137" s="16"/>
      <c r="G137" s="16"/>
      <c r="H137" s="16"/>
      <c r="I137" s="38"/>
    </row>
    <row r="138" spans="1:9" x14ac:dyDescent="0.2">
      <c r="A138" s="16"/>
      <c r="B138" s="17"/>
      <c r="C138" s="22"/>
      <c r="D138" s="38"/>
      <c r="E138" s="16"/>
      <c r="F138" s="16"/>
      <c r="G138" s="16"/>
      <c r="H138" s="16"/>
      <c r="I138" s="38"/>
    </row>
    <row r="139" spans="1:9" x14ac:dyDescent="0.2">
      <c r="A139" s="16"/>
      <c r="B139" s="17"/>
      <c r="C139" s="22"/>
      <c r="D139" s="38"/>
      <c r="E139" s="16"/>
      <c r="F139" s="16"/>
      <c r="G139" s="16"/>
      <c r="H139" s="16"/>
      <c r="I139" s="38"/>
    </row>
    <row r="140" spans="1:9" x14ac:dyDescent="0.2">
      <c r="A140" s="16"/>
      <c r="B140" s="17"/>
      <c r="C140" s="22"/>
      <c r="D140" s="38"/>
      <c r="E140" s="16"/>
      <c r="F140" s="16"/>
      <c r="G140" s="16"/>
      <c r="H140" s="16"/>
      <c r="I140" s="38"/>
    </row>
    <row r="141" spans="1:9" x14ac:dyDescent="0.2">
      <c r="A141" s="16"/>
      <c r="B141" s="17"/>
      <c r="C141" s="22"/>
      <c r="D141" s="38"/>
      <c r="E141" s="16"/>
      <c r="F141" s="16"/>
      <c r="G141" s="16"/>
      <c r="H141" s="16"/>
      <c r="I141" s="38"/>
    </row>
    <row r="142" spans="1:9" x14ac:dyDescent="0.2">
      <c r="A142" s="16"/>
      <c r="B142" s="17"/>
      <c r="C142" s="22"/>
      <c r="D142" s="38"/>
      <c r="E142" s="16"/>
      <c r="F142" s="16"/>
      <c r="G142" s="16"/>
      <c r="H142" s="16"/>
      <c r="I142" s="38"/>
    </row>
    <row r="143" spans="1:9" x14ac:dyDescent="0.2">
      <c r="A143" s="16"/>
      <c r="B143" s="17"/>
      <c r="C143" s="22"/>
      <c r="D143" s="38"/>
      <c r="E143" s="16"/>
      <c r="F143" s="16"/>
      <c r="G143" s="16"/>
      <c r="H143" s="16"/>
      <c r="I143" s="38"/>
    </row>
    <row r="144" spans="1:9" x14ac:dyDescent="0.2">
      <c r="A144" s="16"/>
      <c r="B144" s="17"/>
      <c r="C144" s="22"/>
      <c r="D144" s="38"/>
      <c r="E144" s="16"/>
      <c r="F144" s="16"/>
      <c r="G144" s="16"/>
      <c r="H144" s="16"/>
      <c r="I144" s="38"/>
    </row>
    <row r="145" spans="1:9" x14ac:dyDescent="0.2">
      <c r="A145" s="16"/>
      <c r="B145" s="17"/>
      <c r="C145" s="22"/>
      <c r="D145" s="38"/>
      <c r="E145" s="16"/>
      <c r="F145" s="16"/>
      <c r="G145" s="16"/>
      <c r="H145" s="16"/>
      <c r="I145" s="38"/>
    </row>
    <row r="146" spans="1:9" x14ac:dyDescent="0.2">
      <c r="A146" s="16"/>
      <c r="B146" s="17"/>
      <c r="C146" s="22"/>
      <c r="D146" s="38"/>
      <c r="E146" s="16"/>
      <c r="F146" s="16"/>
      <c r="G146" s="16"/>
      <c r="H146" s="16"/>
      <c r="I146" s="38"/>
    </row>
    <row r="147" spans="1:9" x14ac:dyDescent="0.2">
      <c r="A147" s="16"/>
      <c r="B147" s="17"/>
      <c r="C147" s="22"/>
      <c r="D147" s="38"/>
      <c r="E147" s="16"/>
      <c r="F147" s="16"/>
      <c r="G147" s="16"/>
      <c r="H147" s="16"/>
      <c r="I147" s="38"/>
    </row>
    <row r="148" spans="1:9" x14ac:dyDescent="0.2">
      <c r="A148" s="16"/>
      <c r="B148" s="17"/>
      <c r="C148" s="22"/>
      <c r="D148" s="38"/>
      <c r="E148" s="16"/>
      <c r="F148" s="16"/>
      <c r="G148" s="16"/>
      <c r="H148" s="16"/>
      <c r="I148" s="38"/>
    </row>
    <row r="149" spans="1:9" x14ac:dyDescent="0.2">
      <c r="A149" s="16"/>
      <c r="B149" s="17"/>
      <c r="C149" s="22"/>
      <c r="D149" s="38"/>
      <c r="E149" s="16"/>
      <c r="F149" s="16"/>
      <c r="G149" s="16"/>
      <c r="H149" s="16"/>
      <c r="I149" s="38"/>
    </row>
    <row r="150" spans="1:9" x14ac:dyDescent="0.2">
      <c r="A150" s="16"/>
      <c r="B150" s="17"/>
      <c r="C150" s="22"/>
      <c r="D150" s="38"/>
      <c r="E150" s="16"/>
      <c r="F150" s="16"/>
      <c r="G150" s="16"/>
      <c r="H150" s="16"/>
      <c r="I150" s="38"/>
    </row>
    <row r="151" spans="1:9" x14ac:dyDescent="0.2">
      <c r="A151" s="16"/>
      <c r="B151" s="17"/>
      <c r="C151" s="22"/>
      <c r="D151" s="38"/>
      <c r="E151" s="16"/>
      <c r="F151" s="16"/>
      <c r="G151" s="16"/>
      <c r="H151" s="16"/>
      <c r="I151" s="38"/>
    </row>
    <row r="152" spans="1:9" x14ac:dyDescent="0.2">
      <c r="A152" s="16"/>
      <c r="B152" s="17"/>
      <c r="C152" s="22"/>
      <c r="D152" s="38"/>
      <c r="E152" s="16"/>
      <c r="F152" s="16"/>
      <c r="G152" s="16"/>
      <c r="H152" s="16"/>
      <c r="I152" s="38"/>
    </row>
    <row r="153" spans="1:9" x14ac:dyDescent="0.2">
      <c r="A153" s="16"/>
      <c r="B153" s="17"/>
      <c r="C153" s="22"/>
      <c r="D153" s="38"/>
      <c r="E153" s="16"/>
      <c r="F153" s="16"/>
      <c r="G153" s="16"/>
      <c r="H153" s="16"/>
      <c r="I153" s="38"/>
    </row>
    <row r="154" spans="1:9" x14ac:dyDescent="0.2">
      <c r="A154" s="16"/>
      <c r="B154" s="17"/>
      <c r="C154" s="22"/>
      <c r="D154" s="38"/>
      <c r="E154" s="16"/>
      <c r="F154" s="16"/>
      <c r="G154" s="16"/>
      <c r="H154" s="16"/>
      <c r="I154" s="38"/>
    </row>
    <row r="155" spans="1:9" x14ac:dyDescent="0.2">
      <c r="A155" s="16"/>
      <c r="B155" s="17"/>
      <c r="C155" s="22"/>
      <c r="D155" s="38"/>
      <c r="E155" s="16"/>
      <c r="F155" s="16"/>
      <c r="G155" s="16"/>
      <c r="H155" s="16"/>
      <c r="I155" s="38"/>
    </row>
    <row r="156" spans="1:9" x14ac:dyDescent="0.2">
      <c r="A156" s="16"/>
      <c r="B156" s="17"/>
      <c r="C156" s="22"/>
      <c r="D156" s="38"/>
      <c r="E156" s="16"/>
      <c r="F156" s="16"/>
      <c r="G156" s="16"/>
      <c r="H156" s="16"/>
      <c r="I156" s="38"/>
    </row>
    <row r="157" spans="1:9" x14ac:dyDescent="0.2">
      <c r="A157" s="16"/>
      <c r="B157" s="17"/>
      <c r="C157" s="22"/>
      <c r="D157" s="38"/>
      <c r="E157" s="16"/>
      <c r="F157" s="16"/>
      <c r="G157" s="16"/>
      <c r="H157" s="16"/>
      <c r="I157" s="38"/>
    </row>
    <row r="158" spans="1:9" x14ac:dyDescent="0.2">
      <c r="A158" s="16"/>
      <c r="B158" s="17"/>
      <c r="C158" s="22"/>
      <c r="D158" s="38"/>
      <c r="E158" s="16"/>
      <c r="F158" s="16"/>
      <c r="G158" s="16"/>
      <c r="H158" s="16"/>
      <c r="I158" s="38"/>
    </row>
    <row r="159" spans="1:9" x14ac:dyDescent="0.2">
      <c r="A159" s="16"/>
      <c r="B159" s="17"/>
      <c r="C159" s="22"/>
      <c r="D159" s="38"/>
      <c r="E159" s="16"/>
      <c r="F159" s="16"/>
      <c r="G159" s="16"/>
      <c r="H159" s="16"/>
      <c r="I159" s="38"/>
    </row>
    <row r="160" spans="1:9" x14ac:dyDescent="0.2">
      <c r="A160" s="16"/>
      <c r="B160" s="17"/>
      <c r="C160" s="22"/>
      <c r="D160" s="38"/>
      <c r="E160" s="16"/>
      <c r="F160" s="16"/>
      <c r="G160" s="16"/>
      <c r="H160" s="16"/>
      <c r="I160" s="38"/>
    </row>
    <row r="161" spans="1:9" x14ac:dyDescent="0.2">
      <c r="A161" s="16"/>
      <c r="B161" s="17"/>
      <c r="C161" s="22"/>
      <c r="D161" s="38"/>
      <c r="E161" s="16"/>
      <c r="F161" s="16"/>
      <c r="G161" s="16"/>
      <c r="H161" s="16"/>
      <c r="I161" s="38"/>
    </row>
    <row r="162" spans="1:9" x14ac:dyDescent="0.2">
      <c r="A162" s="16"/>
      <c r="B162" s="17"/>
      <c r="C162" s="22"/>
      <c r="D162" s="38"/>
      <c r="E162" s="16"/>
      <c r="F162" s="16"/>
      <c r="G162" s="16"/>
      <c r="H162" s="16"/>
      <c r="I162" s="38"/>
    </row>
    <row r="163" spans="1:9" x14ac:dyDescent="0.2">
      <c r="A163" s="16"/>
      <c r="B163" s="17"/>
      <c r="C163" s="22"/>
      <c r="D163" s="38"/>
      <c r="E163" s="16"/>
      <c r="F163" s="16"/>
      <c r="G163" s="16"/>
      <c r="H163" s="16"/>
      <c r="I163" s="38"/>
    </row>
    <row r="164" spans="1:9" x14ac:dyDescent="0.2">
      <c r="A164" s="16"/>
      <c r="B164" s="17"/>
      <c r="C164" s="22"/>
      <c r="D164" s="38"/>
      <c r="E164" s="16"/>
      <c r="F164" s="16"/>
      <c r="G164" s="16"/>
      <c r="H164" s="16"/>
      <c r="I164" s="38"/>
    </row>
    <row r="165" spans="1:9" x14ac:dyDescent="0.2">
      <c r="A165" s="16"/>
      <c r="B165" s="17"/>
      <c r="C165" s="22"/>
      <c r="D165" s="38"/>
      <c r="E165" s="16"/>
      <c r="F165" s="16"/>
      <c r="G165" s="16"/>
      <c r="H165" s="16"/>
      <c r="I165" s="38"/>
    </row>
    <row r="166" spans="1:9" x14ac:dyDescent="0.2">
      <c r="A166" s="16"/>
      <c r="B166" s="17"/>
      <c r="C166" s="22"/>
      <c r="D166" s="38"/>
      <c r="E166" s="16"/>
      <c r="F166" s="16"/>
      <c r="G166" s="16"/>
      <c r="H166" s="16"/>
      <c r="I166" s="38"/>
    </row>
    <row r="167" spans="1:9" x14ac:dyDescent="0.2">
      <c r="A167" s="16"/>
      <c r="B167" s="17"/>
      <c r="C167" s="22"/>
      <c r="D167" s="38"/>
      <c r="E167" s="16"/>
      <c r="F167" s="16"/>
      <c r="G167" s="16"/>
      <c r="H167" s="16"/>
      <c r="I167" s="38"/>
    </row>
    <row r="168" spans="1:9" x14ac:dyDescent="0.2">
      <c r="A168" s="16"/>
      <c r="B168" s="17"/>
      <c r="C168" s="22"/>
      <c r="D168" s="38"/>
      <c r="E168" s="16"/>
      <c r="F168" s="16"/>
      <c r="G168" s="16"/>
      <c r="H168" s="16"/>
      <c r="I168" s="38"/>
    </row>
    <row r="169" spans="1:9" x14ac:dyDescent="0.2">
      <c r="A169" s="16"/>
      <c r="B169" s="17"/>
      <c r="C169" s="22"/>
      <c r="D169" s="38"/>
      <c r="E169" s="16"/>
      <c r="F169" s="16"/>
      <c r="G169" s="16"/>
      <c r="H169" s="16"/>
      <c r="I169" s="38"/>
    </row>
    <row r="170" spans="1:9" x14ac:dyDescent="0.2">
      <c r="A170" s="16"/>
      <c r="B170" s="17"/>
      <c r="C170" s="22"/>
      <c r="D170" s="38"/>
      <c r="E170" s="16"/>
      <c r="F170" s="16"/>
      <c r="G170" s="16"/>
      <c r="H170" s="16"/>
      <c r="I170" s="38"/>
    </row>
    <row r="171" spans="1:9" x14ac:dyDescent="0.2">
      <c r="A171" s="16"/>
      <c r="B171" s="17"/>
      <c r="C171" s="22"/>
      <c r="D171" s="38"/>
      <c r="E171" s="16"/>
      <c r="F171" s="16"/>
      <c r="G171" s="16"/>
      <c r="H171" s="16"/>
      <c r="I171" s="38"/>
    </row>
    <row r="172" spans="1:9" x14ac:dyDescent="0.2">
      <c r="A172" s="16"/>
      <c r="B172" s="17"/>
      <c r="C172" s="22"/>
      <c r="D172" s="38"/>
      <c r="E172" s="16"/>
      <c r="F172" s="16"/>
      <c r="G172" s="16"/>
      <c r="H172" s="16"/>
      <c r="I172" s="38"/>
    </row>
    <row r="173" spans="1:9" x14ac:dyDescent="0.2">
      <c r="A173" s="16"/>
      <c r="B173" s="17"/>
      <c r="C173" s="22"/>
      <c r="D173" s="38"/>
      <c r="E173" s="16"/>
      <c r="F173" s="16"/>
      <c r="G173" s="16"/>
      <c r="H173" s="16"/>
      <c r="I173" s="38"/>
    </row>
    <row r="174" spans="1:9" x14ac:dyDescent="0.2">
      <c r="A174" s="16"/>
      <c r="B174" s="17"/>
      <c r="C174" s="22"/>
      <c r="D174" s="38"/>
      <c r="E174" s="16"/>
      <c r="F174" s="16"/>
      <c r="G174" s="16"/>
      <c r="H174" s="16"/>
      <c r="I174" s="38"/>
    </row>
    <row r="175" spans="1:9" x14ac:dyDescent="0.2">
      <c r="A175" s="16"/>
      <c r="B175" s="17"/>
      <c r="C175" s="22"/>
      <c r="D175" s="38"/>
      <c r="E175" s="16"/>
      <c r="F175" s="16"/>
      <c r="G175" s="16"/>
      <c r="H175" s="16"/>
      <c r="I175" s="38"/>
    </row>
    <row r="176" spans="1:9" x14ac:dyDescent="0.2">
      <c r="A176" s="16"/>
      <c r="B176" s="17"/>
      <c r="C176" s="22"/>
      <c r="D176" s="38"/>
      <c r="E176" s="16"/>
      <c r="F176" s="16"/>
      <c r="G176" s="16"/>
      <c r="H176" s="16"/>
      <c r="I176" s="38"/>
    </row>
    <row r="177" spans="1:9" x14ac:dyDescent="0.2">
      <c r="A177" s="16"/>
      <c r="B177" s="17"/>
      <c r="C177" s="22"/>
      <c r="D177" s="38"/>
      <c r="E177" s="16"/>
      <c r="F177" s="16"/>
      <c r="G177" s="16"/>
      <c r="H177" s="16"/>
      <c r="I177" s="38"/>
    </row>
    <row r="178" spans="1:9" x14ac:dyDescent="0.2">
      <c r="A178" s="16"/>
      <c r="B178" s="17"/>
      <c r="C178" s="22"/>
      <c r="D178" s="38"/>
      <c r="E178" s="16"/>
      <c r="F178" s="16"/>
      <c r="G178" s="16"/>
      <c r="H178" s="16"/>
      <c r="I178" s="38"/>
    </row>
    <row r="179" spans="1:9" x14ac:dyDescent="0.2">
      <c r="A179" s="16"/>
      <c r="B179" s="17"/>
      <c r="C179" s="22"/>
      <c r="D179" s="38"/>
      <c r="E179" s="16"/>
      <c r="F179" s="16"/>
      <c r="G179" s="16"/>
      <c r="H179" s="16"/>
      <c r="I179" s="38"/>
    </row>
    <row r="180" spans="1:9" x14ac:dyDescent="0.2">
      <c r="A180" s="16"/>
      <c r="B180" s="17"/>
      <c r="C180" s="22"/>
      <c r="D180" s="38"/>
      <c r="E180" s="16"/>
      <c r="F180" s="16"/>
      <c r="G180" s="16"/>
      <c r="H180" s="16"/>
      <c r="I180" s="38"/>
    </row>
    <row r="181" spans="1:9" x14ac:dyDescent="0.2">
      <c r="A181" s="16"/>
      <c r="B181" s="17"/>
      <c r="C181" s="22"/>
      <c r="D181" s="38"/>
      <c r="E181" s="16"/>
      <c r="F181" s="16"/>
      <c r="G181" s="16"/>
      <c r="H181" s="16"/>
      <c r="I181" s="38"/>
    </row>
    <row r="182" spans="1:9" x14ac:dyDescent="0.2">
      <c r="A182" s="16"/>
      <c r="B182" s="17"/>
      <c r="C182" s="22"/>
      <c r="D182" s="38"/>
      <c r="E182" s="16"/>
      <c r="F182" s="16"/>
      <c r="G182" s="16"/>
      <c r="H182" s="16"/>
      <c r="I182" s="38"/>
    </row>
    <row r="183" spans="1:9" x14ac:dyDescent="0.2">
      <c r="A183" s="16"/>
      <c r="B183" s="17"/>
      <c r="C183" s="22"/>
      <c r="D183" s="38"/>
      <c r="E183" s="16"/>
      <c r="F183" s="16"/>
      <c r="G183" s="16"/>
      <c r="H183" s="16"/>
      <c r="I183" s="38"/>
    </row>
    <row r="184" spans="1:9" x14ac:dyDescent="0.2">
      <c r="A184" s="16"/>
      <c r="B184" s="17"/>
      <c r="C184" s="22"/>
      <c r="D184" s="38"/>
      <c r="E184" s="16"/>
      <c r="F184" s="16"/>
      <c r="G184" s="16"/>
      <c r="H184" s="16"/>
      <c r="I184" s="38"/>
    </row>
    <row r="185" spans="1:9" x14ac:dyDescent="0.2">
      <c r="A185" s="16"/>
      <c r="B185" s="17"/>
      <c r="C185" s="22"/>
      <c r="D185" s="38"/>
      <c r="E185" s="16"/>
      <c r="F185" s="16"/>
      <c r="G185" s="16"/>
      <c r="H185" s="16"/>
      <c r="I185" s="38"/>
    </row>
    <row r="186" spans="1:9" x14ac:dyDescent="0.2">
      <c r="A186" s="16"/>
      <c r="B186" s="17"/>
      <c r="C186" s="22"/>
      <c r="D186" s="38"/>
      <c r="E186" s="16"/>
      <c r="F186" s="16"/>
      <c r="G186" s="16"/>
      <c r="H186" s="16"/>
      <c r="I186" s="38"/>
    </row>
    <row r="187" spans="1:9" x14ac:dyDescent="0.2">
      <c r="A187" s="16"/>
      <c r="B187" s="17"/>
      <c r="C187" s="22"/>
      <c r="D187" s="38"/>
      <c r="E187" s="16"/>
      <c r="F187" s="16"/>
      <c r="G187" s="16"/>
      <c r="H187" s="16"/>
      <c r="I187" s="38"/>
    </row>
    <row r="188" spans="1:9" x14ac:dyDescent="0.2">
      <c r="A188" s="16"/>
      <c r="B188" s="17"/>
      <c r="C188" s="22"/>
      <c r="D188" s="38"/>
      <c r="E188" s="16"/>
      <c r="F188" s="16"/>
      <c r="G188" s="16"/>
      <c r="H188" s="16"/>
      <c r="I188" s="38"/>
    </row>
    <row r="189" spans="1:9" x14ac:dyDescent="0.2">
      <c r="A189" s="16"/>
      <c r="B189" s="17"/>
      <c r="C189" s="22"/>
      <c r="D189" s="38"/>
      <c r="E189" s="16"/>
      <c r="F189" s="16"/>
      <c r="G189" s="16"/>
      <c r="H189" s="16"/>
      <c r="I189" s="38"/>
    </row>
    <row r="190" spans="1:9" x14ac:dyDescent="0.2">
      <c r="A190" s="16"/>
      <c r="B190" s="17"/>
      <c r="C190" s="22"/>
      <c r="D190" s="38"/>
      <c r="E190" s="16"/>
      <c r="F190" s="16"/>
      <c r="G190" s="16"/>
      <c r="H190" s="16"/>
      <c r="I190" s="38"/>
    </row>
    <row r="191" spans="1:9" x14ac:dyDescent="0.2">
      <c r="A191" s="16"/>
      <c r="B191" s="17"/>
      <c r="C191" s="22"/>
      <c r="D191" s="38"/>
      <c r="E191" s="16"/>
      <c r="F191" s="16"/>
      <c r="G191" s="16"/>
      <c r="H191" s="16"/>
      <c r="I191" s="38"/>
    </row>
    <row r="192" spans="1:9" x14ac:dyDescent="0.2">
      <c r="A192" s="16"/>
      <c r="B192" s="17"/>
      <c r="C192" s="22"/>
      <c r="D192" s="38"/>
      <c r="E192" s="16"/>
      <c r="F192" s="16"/>
      <c r="G192" s="16"/>
      <c r="H192" s="16"/>
      <c r="I192" s="38"/>
    </row>
    <row r="193" spans="1:9" x14ac:dyDescent="0.2">
      <c r="A193" s="16"/>
      <c r="B193" s="17"/>
      <c r="C193" s="22"/>
      <c r="D193" s="38"/>
      <c r="E193" s="16"/>
      <c r="F193" s="16"/>
      <c r="G193" s="16"/>
      <c r="H193" s="16"/>
      <c r="I193" s="38"/>
    </row>
    <row r="194" spans="1:9" x14ac:dyDescent="0.2">
      <c r="A194" s="16"/>
      <c r="B194" s="17"/>
      <c r="C194" s="22"/>
      <c r="D194" s="38"/>
      <c r="E194" s="16"/>
      <c r="F194" s="16"/>
      <c r="G194" s="16"/>
      <c r="H194" s="16"/>
      <c r="I194" s="38"/>
    </row>
    <row r="195" spans="1:9" x14ac:dyDescent="0.2">
      <c r="A195" s="16"/>
      <c r="B195" s="17"/>
      <c r="C195" s="22"/>
      <c r="D195" s="38"/>
      <c r="E195" s="16"/>
      <c r="F195" s="16"/>
      <c r="G195" s="16"/>
      <c r="H195" s="16"/>
      <c r="I195" s="38"/>
    </row>
    <row r="196" spans="1:9" x14ac:dyDescent="0.2">
      <c r="A196" s="16"/>
      <c r="B196" s="17"/>
      <c r="C196" s="22"/>
      <c r="D196" s="38"/>
      <c r="E196" s="16"/>
      <c r="F196" s="16"/>
      <c r="G196" s="16"/>
      <c r="H196" s="16"/>
      <c r="I196" s="38"/>
    </row>
    <row r="197" spans="1:9" x14ac:dyDescent="0.2">
      <c r="A197" s="16"/>
      <c r="B197" s="17"/>
      <c r="C197" s="22"/>
      <c r="D197" s="38"/>
      <c r="E197" s="16"/>
      <c r="F197" s="16"/>
      <c r="G197" s="16"/>
      <c r="H197" s="16"/>
      <c r="I197" s="38"/>
    </row>
    <row r="198" spans="1:9" x14ac:dyDescent="0.2">
      <c r="A198" s="16"/>
      <c r="B198" s="17"/>
      <c r="C198" s="22"/>
      <c r="D198" s="38"/>
      <c r="E198" s="16"/>
      <c r="F198" s="16"/>
      <c r="G198" s="16"/>
      <c r="H198" s="16"/>
      <c r="I198" s="38"/>
    </row>
    <row r="199" spans="1:9" x14ac:dyDescent="0.2">
      <c r="A199" s="16"/>
      <c r="B199" s="17"/>
      <c r="C199" s="22"/>
      <c r="D199" s="38"/>
      <c r="E199" s="16"/>
      <c r="F199" s="16"/>
      <c r="G199" s="16"/>
      <c r="H199" s="16"/>
      <c r="I199" s="38"/>
    </row>
    <row r="200" spans="1:9" x14ac:dyDescent="0.2">
      <c r="A200" s="16"/>
      <c r="B200" s="17"/>
      <c r="C200" s="22"/>
      <c r="D200" s="38"/>
      <c r="E200" s="16"/>
      <c r="F200" s="16"/>
      <c r="G200" s="16"/>
      <c r="H200" s="16"/>
      <c r="I200" s="38"/>
    </row>
    <row r="201" spans="1:9" x14ac:dyDescent="0.2">
      <c r="A201" s="16"/>
      <c r="B201" s="17"/>
      <c r="C201" s="22"/>
      <c r="D201" s="38"/>
      <c r="E201" s="16"/>
      <c r="F201" s="16"/>
      <c r="G201" s="16"/>
      <c r="H201" s="16"/>
      <c r="I201" s="38"/>
    </row>
    <row r="202" spans="1:9" x14ac:dyDescent="0.2">
      <c r="A202" s="16"/>
      <c r="B202" s="17"/>
      <c r="C202" s="22"/>
      <c r="D202" s="38"/>
      <c r="E202" s="16"/>
      <c r="F202" s="16"/>
      <c r="G202" s="16"/>
      <c r="H202" s="16"/>
      <c r="I202" s="38"/>
    </row>
    <row r="203" spans="1:9" x14ac:dyDescent="0.2">
      <c r="A203" s="16"/>
      <c r="B203" s="17"/>
      <c r="C203" s="22"/>
      <c r="D203" s="38"/>
      <c r="E203" s="16"/>
      <c r="F203" s="16"/>
      <c r="G203" s="16"/>
      <c r="H203" s="16"/>
      <c r="I203" s="38"/>
    </row>
    <row r="204" spans="1:9" x14ac:dyDescent="0.2">
      <c r="A204" s="16"/>
      <c r="B204" s="17"/>
      <c r="C204" s="22"/>
      <c r="D204" s="38"/>
      <c r="E204" s="16"/>
      <c r="F204" s="16"/>
      <c r="G204" s="16"/>
      <c r="H204" s="16"/>
      <c r="I204" s="38"/>
    </row>
    <row r="205" spans="1:9" x14ac:dyDescent="0.2">
      <c r="A205" s="16"/>
      <c r="B205" s="17"/>
      <c r="C205" s="22"/>
      <c r="D205" s="38"/>
      <c r="E205" s="16"/>
      <c r="F205" s="16"/>
      <c r="G205" s="16"/>
      <c r="H205" s="16"/>
      <c r="I205" s="38"/>
    </row>
    <row r="206" spans="1:9" x14ac:dyDescent="0.2">
      <c r="A206" s="16"/>
      <c r="B206" s="17"/>
      <c r="C206" s="22"/>
      <c r="D206" s="38"/>
      <c r="E206" s="16"/>
      <c r="F206" s="16"/>
      <c r="G206" s="16"/>
      <c r="H206" s="16"/>
      <c r="I206" s="38"/>
    </row>
    <row r="207" spans="1:9" x14ac:dyDescent="0.2">
      <c r="A207" s="16"/>
      <c r="B207" s="17"/>
      <c r="C207" s="22"/>
      <c r="D207" s="38"/>
      <c r="E207" s="16"/>
      <c r="F207" s="16"/>
      <c r="G207" s="16"/>
      <c r="H207" s="16"/>
      <c r="I207" s="38"/>
    </row>
    <row r="208" spans="1:9" x14ac:dyDescent="0.2">
      <c r="A208" s="16"/>
      <c r="B208" s="17"/>
      <c r="C208" s="22"/>
      <c r="D208" s="38"/>
      <c r="E208" s="16"/>
      <c r="F208" s="16"/>
      <c r="G208" s="16"/>
      <c r="H208" s="16"/>
      <c r="I208" s="38"/>
    </row>
    <row r="209" spans="1:9" x14ac:dyDescent="0.2">
      <c r="A209" s="16"/>
      <c r="B209" s="17"/>
      <c r="C209" s="22"/>
      <c r="D209" s="38"/>
      <c r="E209" s="16"/>
      <c r="F209" s="16"/>
      <c r="G209" s="16"/>
      <c r="H209" s="16"/>
      <c r="I209" s="38"/>
    </row>
  </sheetData>
  <mergeCells count="7">
    <mergeCell ref="K7:R7"/>
    <mergeCell ref="B1:I1"/>
    <mergeCell ref="B2:I2"/>
    <mergeCell ref="B3:I3"/>
    <mergeCell ref="B4:I4"/>
    <mergeCell ref="B5:I5"/>
    <mergeCell ref="B6:I6"/>
  </mergeCells>
  <pageMargins left="0.45" right="0.45" top="0.75" bottom="0.5" header="0.3" footer="0.3"/>
  <pageSetup scale="85" orientation="portrait" r:id="rId1"/>
  <headerFooter>
    <oddFooter>&amp;CPage no  &amp;P  MB-  1001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5"/>
  <sheetViews>
    <sheetView view="pageBreakPreview" topLeftCell="A4" zoomScale="90" zoomScaleSheetLayoutView="90" workbookViewId="0">
      <selection activeCell="C9" sqref="C9"/>
    </sheetView>
  </sheetViews>
  <sheetFormatPr defaultColWidth="9.140625" defaultRowHeight="14.25" x14ac:dyDescent="0.2"/>
  <cols>
    <col min="1" max="1" width="10.140625" style="8" customWidth="1"/>
    <col min="2" max="2" width="7" style="18" customWidth="1"/>
    <col min="3" max="3" width="42.85546875" style="23" customWidth="1"/>
    <col min="4" max="4" width="4.28515625" style="39" bestFit="1" customWidth="1"/>
    <col min="5" max="6" width="9.28515625" style="8" bestFit="1" customWidth="1"/>
    <col min="7" max="7" width="7.7109375" style="8" bestFit="1" customWidth="1"/>
    <col min="8" max="8" width="11.85546875" style="8" customWidth="1"/>
    <col min="9" max="9" width="9.28515625" style="39" customWidth="1"/>
    <col min="10" max="10" width="9.140625" style="8"/>
    <col min="11" max="12" width="9.28515625" style="8" bestFit="1" customWidth="1"/>
    <col min="13" max="13" width="9.7109375" style="8" bestFit="1" customWidth="1"/>
    <col min="14" max="16384" width="9.140625" style="8"/>
  </cols>
  <sheetData>
    <row r="1" spans="1:18" ht="34.15" customHeight="1" x14ac:dyDescent="0.2">
      <c r="A1" s="26" t="s">
        <v>16</v>
      </c>
      <c r="B1" s="186" t="s">
        <v>23</v>
      </c>
      <c r="C1" s="187"/>
      <c r="D1" s="187"/>
      <c r="E1" s="187"/>
      <c r="F1" s="187"/>
      <c r="G1" s="187"/>
      <c r="H1" s="187"/>
      <c r="I1" s="188"/>
    </row>
    <row r="2" spans="1:18" ht="24.75" customHeight="1" x14ac:dyDescent="0.2">
      <c r="A2" s="26" t="s">
        <v>17</v>
      </c>
      <c r="B2" s="168" t="s">
        <v>26</v>
      </c>
      <c r="C2" s="169"/>
      <c r="D2" s="169"/>
      <c r="E2" s="169"/>
      <c r="F2" s="169"/>
      <c r="G2" s="169"/>
      <c r="H2" s="169"/>
      <c r="I2" s="170"/>
    </row>
    <row r="3" spans="1:18" ht="24.75" customHeight="1" x14ac:dyDescent="0.2">
      <c r="A3" s="27" t="s">
        <v>31</v>
      </c>
      <c r="B3" s="168" t="s">
        <v>33</v>
      </c>
      <c r="C3" s="169"/>
      <c r="D3" s="169"/>
      <c r="E3" s="169"/>
      <c r="F3" s="169"/>
      <c r="G3" s="169"/>
      <c r="H3" s="169"/>
      <c r="I3" s="170"/>
    </row>
    <row r="4" spans="1:18" ht="24.75" customHeight="1" x14ac:dyDescent="0.2">
      <c r="A4" s="27" t="s">
        <v>18</v>
      </c>
      <c r="B4" s="168" t="s">
        <v>28</v>
      </c>
      <c r="C4" s="169"/>
      <c r="D4" s="169"/>
      <c r="E4" s="169"/>
      <c r="F4" s="169"/>
      <c r="G4" s="169"/>
      <c r="H4" s="169"/>
      <c r="I4" s="170"/>
    </row>
    <row r="5" spans="1:18" ht="24.75" customHeight="1" x14ac:dyDescent="0.2">
      <c r="A5" s="27" t="s">
        <v>30</v>
      </c>
      <c r="B5" s="168" t="s">
        <v>29</v>
      </c>
      <c r="C5" s="169"/>
      <c r="D5" s="169"/>
      <c r="E5" s="169"/>
      <c r="F5" s="169"/>
      <c r="G5" s="169"/>
      <c r="H5" s="169"/>
      <c r="I5" s="170"/>
    </row>
    <row r="6" spans="1:18" ht="25.5" customHeight="1" x14ac:dyDescent="0.2">
      <c r="A6" s="27" t="s">
        <v>19</v>
      </c>
      <c r="B6" s="171" t="s">
        <v>38</v>
      </c>
      <c r="C6" s="172">
        <v>1</v>
      </c>
      <c r="D6" s="172"/>
      <c r="E6" s="172"/>
      <c r="F6" s="172"/>
      <c r="G6" s="172"/>
      <c r="H6" s="172"/>
      <c r="I6" s="173"/>
      <c r="L6" s="9"/>
    </row>
    <row r="7" spans="1:18" ht="24.95" customHeight="1" x14ac:dyDescent="0.2">
      <c r="A7" s="221" t="s">
        <v>20</v>
      </c>
      <c r="B7" s="221" t="s">
        <v>14</v>
      </c>
      <c r="C7" s="222" t="s">
        <v>4</v>
      </c>
      <c r="D7" s="165" t="s">
        <v>15</v>
      </c>
      <c r="E7" s="165" t="s">
        <v>0</v>
      </c>
      <c r="F7" s="165" t="s">
        <v>1</v>
      </c>
      <c r="G7" s="29" t="s">
        <v>2</v>
      </c>
      <c r="H7" s="165" t="s">
        <v>22</v>
      </c>
      <c r="I7" s="223" t="s">
        <v>8</v>
      </c>
      <c r="J7" s="10"/>
      <c r="K7" s="181"/>
      <c r="L7" s="181"/>
      <c r="M7" s="181"/>
      <c r="N7" s="181"/>
      <c r="O7" s="181"/>
      <c r="P7" s="181"/>
      <c r="Q7" s="181"/>
      <c r="R7" s="181"/>
    </row>
    <row r="8" spans="1:18" ht="32.25" customHeight="1" x14ac:dyDescent="0.2">
      <c r="A8" s="154" t="s">
        <v>109</v>
      </c>
      <c r="B8" s="152" t="s">
        <v>24</v>
      </c>
      <c r="C8" s="20" t="s">
        <v>42</v>
      </c>
      <c r="D8" s="34">
        <v>2</v>
      </c>
      <c r="E8" s="30">
        <v>16.074999999999999</v>
      </c>
      <c r="F8" s="30" t="s">
        <v>43</v>
      </c>
      <c r="G8" s="30">
        <v>1.5</v>
      </c>
      <c r="H8" s="11">
        <f>+D8*E8*G8</f>
        <v>48.224999999999994</v>
      </c>
      <c r="I8" s="35"/>
      <c r="J8" s="123"/>
    </row>
    <row r="9" spans="1:18" ht="32.25" customHeight="1" x14ac:dyDescent="0.2">
      <c r="A9" s="43"/>
      <c r="B9" s="41"/>
      <c r="C9" s="20" t="s">
        <v>42</v>
      </c>
      <c r="D9" s="34">
        <v>2</v>
      </c>
      <c r="E9" s="30">
        <v>16.3</v>
      </c>
      <c r="F9" s="30" t="s">
        <v>43</v>
      </c>
      <c r="G9" s="30">
        <v>1.5</v>
      </c>
      <c r="H9" s="11">
        <f>+D9*E9*G9</f>
        <v>48.900000000000006</v>
      </c>
      <c r="I9" s="35"/>
      <c r="J9" s="123"/>
    </row>
    <row r="10" spans="1:18" ht="28.5" x14ac:dyDescent="0.2">
      <c r="A10" s="154" t="s">
        <v>109</v>
      </c>
      <c r="B10" s="152" t="s">
        <v>25</v>
      </c>
      <c r="C10" s="20" t="s">
        <v>42</v>
      </c>
      <c r="D10" s="34">
        <v>1</v>
      </c>
      <c r="E10" s="30">
        <v>16.3</v>
      </c>
      <c r="F10" s="30">
        <v>16.074999999999999</v>
      </c>
      <c r="G10" s="30">
        <v>1.5</v>
      </c>
      <c r="H10" s="11">
        <f>+D10*E10*F10*G10</f>
        <v>393.03374999999994</v>
      </c>
      <c r="I10" s="49"/>
    </row>
    <row r="11" spans="1:18" ht="22.5" customHeight="1" x14ac:dyDescent="0.2">
      <c r="A11" s="43"/>
      <c r="B11" s="41"/>
      <c r="C11" s="47"/>
      <c r="D11" s="34"/>
      <c r="E11" s="30"/>
      <c r="F11" s="30"/>
      <c r="G11" s="30"/>
      <c r="H11" s="48"/>
      <c r="I11" s="49"/>
    </row>
    <row r="12" spans="1:18" ht="22.5" customHeight="1" x14ac:dyDescent="0.2">
      <c r="A12" s="43"/>
      <c r="B12" s="41"/>
      <c r="C12" s="47"/>
      <c r="D12" s="34"/>
      <c r="E12" s="30"/>
      <c r="F12" s="30"/>
      <c r="G12" s="30"/>
      <c r="H12" s="48"/>
      <c r="I12" s="49"/>
    </row>
    <row r="13" spans="1:18" ht="22.5" customHeight="1" x14ac:dyDescent="0.2">
      <c r="A13" s="43"/>
      <c r="B13" s="41"/>
      <c r="C13" s="47"/>
      <c r="D13" s="34"/>
      <c r="E13" s="30"/>
      <c r="F13" s="30"/>
      <c r="G13" s="30"/>
      <c r="H13" s="48"/>
      <c r="I13" s="49"/>
    </row>
    <row r="14" spans="1:18" ht="22.5" customHeight="1" x14ac:dyDescent="0.2">
      <c r="A14" s="43"/>
      <c r="B14" s="41"/>
      <c r="C14" s="47"/>
      <c r="D14" s="34"/>
      <c r="E14" s="30"/>
      <c r="F14" s="30"/>
      <c r="G14" s="30"/>
      <c r="H14" s="48"/>
      <c r="I14" s="49"/>
    </row>
    <row r="15" spans="1:18" ht="22.5" customHeight="1" x14ac:dyDescent="0.2">
      <c r="A15" s="43"/>
      <c r="B15" s="41"/>
      <c r="C15" s="47"/>
      <c r="D15" s="34"/>
      <c r="E15" s="30"/>
      <c r="F15" s="30"/>
      <c r="G15" s="30"/>
      <c r="H15" s="48"/>
      <c r="I15" s="49"/>
    </row>
    <row r="16" spans="1:18" ht="22.5" customHeight="1" x14ac:dyDescent="0.2">
      <c r="A16" s="43"/>
      <c r="B16" s="41"/>
      <c r="C16" s="47"/>
      <c r="D16" s="34"/>
      <c r="E16" s="30"/>
      <c r="F16" s="30"/>
      <c r="G16" s="30"/>
      <c r="H16" s="48"/>
      <c r="I16" s="49"/>
    </row>
    <row r="17" spans="1:9" ht="22.5" customHeight="1" x14ac:dyDescent="0.2">
      <c r="A17" s="43"/>
      <c r="B17" s="41"/>
      <c r="C17" s="47"/>
      <c r="D17" s="34"/>
      <c r="E17" s="30"/>
      <c r="F17" s="30"/>
      <c r="G17" s="30"/>
      <c r="H17" s="48"/>
      <c r="I17" s="49"/>
    </row>
    <row r="18" spans="1:9" ht="22.5" customHeight="1" x14ac:dyDescent="0.2">
      <c r="A18" s="43"/>
      <c r="B18" s="41"/>
      <c r="C18" s="47"/>
      <c r="D18" s="34"/>
      <c r="E18" s="30"/>
      <c r="F18" s="30"/>
      <c r="G18" s="30"/>
      <c r="H18" s="48"/>
      <c r="I18" s="49"/>
    </row>
    <row r="19" spans="1:9" ht="22.5" customHeight="1" x14ac:dyDescent="0.2">
      <c r="A19" s="43"/>
      <c r="B19" s="41"/>
      <c r="C19" s="47"/>
      <c r="D19" s="34"/>
      <c r="E19" s="30"/>
      <c r="F19" s="30"/>
      <c r="G19" s="30"/>
      <c r="H19" s="48"/>
      <c r="I19" s="49"/>
    </row>
    <row r="20" spans="1:9" ht="22.5" customHeight="1" x14ac:dyDescent="0.2">
      <c r="A20" s="43"/>
      <c r="B20" s="41"/>
      <c r="C20" s="47"/>
      <c r="D20" s="34"/>
      <c r="E20" s="30"/>
      <c r="F20" s="30"/>
      <c r="G20" s="30"/>
      <c r="H20" s="48"/>
      <c r="I20" s="49"/>
    </row>
    <row r="21" spans="1:9" ht="22.5" customHeight="1" x14ac:dyDescent="0.2">
      <c r="A21" s="43"/>
      <c r="B21" s="41"/>
      <c r="C21" s="47"/>
      <c r="D21" s="34"/>
      <c r="E21" s="30"/>
      <c r="F21" s="30"/>
      <c r="G21" s="30"/>
      <c r="H21" s="48"/>
      <c r="I21" s="49"/>
    </row>
    <row r="22" spans="1:9" ht="22.5" customHeight="1" x14ac:dyDescent="0.2">
      <c r="A22" s="43"/>
      <c r="B22" s="41"/>
      <c r="C22" s="47"/>
      <c r="D22" s="34"/>
      <c r="E22" s="30"/>
      <c r="F22" s="30"/>
      <c r="G22" s="30"/>
      <c r="H22" s="48"/>
      <c r="I22" s="49"/>
    </row>
    <row r="23" spans="1:9" ht="22.5" customHeight="1" x14ac:dyDescent="0.2">
      <c r="A23" s="43"/>
      <c r="B23" s="41"/>
      <c r="C23" s="47"/>
      <c r="D23" s="34"/>
      <c r="E23" s="30"/>
      <c r="F23" s="30"/>
      <c r="G23" s="30"/>
      <c r="H23" s="48"/>
      <c r="I23" s="49"/>
    </row>
    <row r="24" spans="1:9" ht="22.5" customHeight="1" x14ac:dyDescent="0.2">
      <c r="A24" s="43"/>
      <c r="B24" s="41"/>
      <c r="C24" s="47"/>
      <c r="D24" s="34"/>
      <c r="E24" s="30"/>
      <c r="F24" s="30"/>
      <c r="G24" s="30"/>
      <c r="H24" s="48"/>
      <c r="I24" s="49"/>
    </row>
    <row r="25" spans="1:9" ht="22.5" customHeight="1" x14ac:dyDescent="0.2">
      <c r="A25" s="43"/>
      <c r="B25" s="41"/>
      <c r="C25" s="47"/>
      <c r="D25" s="34"/>
      <c r="E25" s="30"/>
      <c r="F25" s="30"/>
      <c r="G25" s="30"/>
      <c r="H25" s="48"/>
      <c r="I25" s="49"/>
    </row>
    <row r="26" spans="1:9" ht="22.5" customHeight="1" x14ac:dyDescent="0.2">
      <c r="A26" s="43"/>
      <c r="B26" s="41"/>
      <c r="C26" s="47"/>
      <c r="D26" s="34"/>
      <c r="E26" s="30"/>
      <c r="F26" s="30"/>
      <c r="G26" s="30"/>
      <c r="H26" s="48"/>
      <c r="I26" s="49"/>
    </row>
    <row r="27" spans="1:9" ht="22.5" customHeight="1" x14ac:dyDescent="0.2">
      <c r="A27" s="43"/>
      <c r="B27" s="41"/>
      <c r="C27" s="47"/>
      <c r="D27" s="34"/>
      <c r="E27" s="30"/>
      <c r="F27" s="30"/>
      <c r="G27" s="30"/>
      <c r="H27" s="48"/>
      <c r="I27" s="49"/>
    </row>
    <row r="28" spans="1:9" x14ac:dyDescent="0.2">
      <c r="A28" s="16"/>
      <c r="B28" s="17"/>
      <c r="C28" s="22"/>
      <c r="D28" s="38"/>
      <c r="E28" s="16"/>
      <c r="F28" s="16"/>
      <c r="G28" s="16"/>
      <c r="H28" s="16"/>
      <c r="I28" s="38"/>
    </row>
    <row r="29" spans="1:9" x14ac:dyDescent="0.2">
      <c r="A29" s="16"/>
      <c r="B29" s="17"/>
      <c r="C29" s="22"/>
      <c r="D29" s="38"/>
      <c r="E29" s="16"/>
      <c r="F29" s="16"/>
      <c r="G29" s="16"/>
      <c r="H29" s="16"/>
      <c r="I29" s="38"/>
    </row>
    <row r="30" spans="1:9" x14ac:dyDescent="0.2">
      <c r="A30" s="16"/>
      <c r="B30" s="17"/>
      <c r="C30" s="22"/>
      <c r="D30" s="38"/>
      <c r="E30" s="16"/>
      <c r="F30" s="16"/>
      <c r="G30" s="16"/>
      <c r="H30" s="16"/>
      <c r="I30" s="38"/>
    </row>
    <row r="31" spans="1:9" x14ac:dyDescent="0.2">
      <c r="A31" s="16"/>
      <c r="B31" s="17"/>
      <c r="C31" s="22"/>
      <c r="D31" s="38"/>
      <c r="E31" s="16"/>
      <c r="F31" s="16"/>
      <c r="G31" s="16"/>
      <c r="H31" s="16"/>
      <c r="I31" s="38"/>
    </row>
    <row r="32" spans="1:9" x14ac:dyDescent="0.2">
      <c r="A32" s="16"/>
      <c r="B32" s="17"/>
      <c r="C32" s="22"/>
      <c r="D32" s="38"/>
      <c r="E32" s="16"/>
      <c r="F32" s="16"/>
      <c r="G32" s="16"/>
      <c r="H32" s="16"/>
      <c r="I32" s="38"/>
    </row>
    <row r="33" spans="1:9" x14ac:dyDescent="0.2">
      <c r="A33" s="16"/>
      <c r="B33" s="17"/>
      <c r="C33" s="22"/>
      <c r="D33" s="38"/>
      <c r="E33" s="16"/>
      <c r="F33" s="16"/>
      <c r="G33" s="16"/>
      <c r="H33" s="16"/>
      <c r="I33" s="38"/>
    </row>
    <row r="34" spans="1:9" x14ac:dyDescent="0.2">
      <c r="A34" s="16"/>
      <c r="B34" s="17"/>
      <c r="C34" s="22"/>
      <c r="D34" s="38"/>
      <c r="E34" s="16"/>
      <c r="F34" s="16"/>
      <c r="G34" s="16"/>
      <c r="H34" s="16"/>
      <c r="I34" s="38"/>
    </row>
    <row r="35" spans="1:9" x14ac:dyDescent="0.2">
      <c r="A35" s="16"/>
      <c r="B35" s="17"/>
      <c r="C35" s="22"/>
      <c r="D35" s="38"/>
      <c r="E35" s="16"/>
      <c r="F35" s="16"/>
      <c r="G35" s="16"/>
      <c r="H35" s="16"/>
      <c r="I35" s="38"/>
    </row>
    <row r="36" spans="1:9" x14ac:dyDescent="0.2">
      <c r="A36" s="16"/>
      <c r="B36" s="17"/>
      <c r="C36" s="22"/>
      <c r="D36" s="38"/>
      <c r="E36" s="16"/>
      <c r="F36" s="16"/>
      <c r="G36" s="16"/>
      <c r="H36" s="16"/>
      <c r="I36" s="38"/>
    </row>
    <row r="37" spans="1:9" x14ac:dyDescent="0.2">
      <c r="A37" s="16"/>
      <c r="B37" s="17"/>
      <c r="C37" s="22"/>
      <c r="D37" s="38"/>
      <c r="E37" s="16"/>
      <c r="F37" s="16"/>
      <c r="G37" s="16"/>
      <c r="H37" s="16"/>
      <c r="I37" s="38"/>
    </row>
    <row r="38" spans="1:9" x14ac:dyDescent="0.2">
      <c r="A38" s="16"/>
      <c r="B38" s="17"/>
      <c r="C38" s="22"/>
      <c r="D38" s="38"/>
      <c r="E38" s="16"/>
      <c r="F38" s="16"/>
      <c r="G38" s="16"/>
      <c r="H38" s="16"/>
      <c r="I38" s="38"/>
    </row>
    <row r="39" spans="1:9" x14ac:dyDescent="0.2">
      <c r="A39" s="16"/>
      <c r="B39" s="17"/>
      <c r="C39" s="22"/>
      <c r="D39" s="38"/>
      <c r="E39" s="16"/>
      <c r="F39" s="16"/>
      <c r="G39" s="16"/>
      <c r="H39" s="16"/>
      <c r="I39" s="38"/>
    </row>
    <row r="40" spans="1:9" x14ac:dyDescent="0.2">
      <c r="A40" s="16"/>
      <c r="B40" s="17"/>
      <c r="C40" s="22"/>
      <c r="D40" s="38"/>
      <c r="E40" s="16"/>
      <c r="F40" s="16"/>
      <c r="G40" s="16"/>
      <c r="H40" s="16"/>
      <c r="I40" s="38"/>
    </row>
    <row r="41" spans="1:9" x14ac:dyDescent="0.2">
      <c r="A41" s="16"/>
      <c r="B41" s="17"/>
      <c r="C41" s="22"/>
      <c r="D41" s="38"/>
      <c r="E41" s="16"/>
      <c r="F41" s="16"/>
      <c r="G41" s="16"/>
      <c r="H41" s="16"/>
      <c r="I41" s="38"/>
    </row>
    <row r="42" spans="1:9" x14ac:dyDescent="0.2">
      <c r="A42" s="16"/>
      <c r="B42" s="17"/>
      <c r="C42" s="22"/>
      <c r="D42" s="38"/>
      <c r="E42" s="16"/>
      <c r="F42" s="16"/>
      <c r="G42" s="16"/>
      <c r="H42" s="16"/>
      <c r="I42" s="38"/>
    </row>
    <row r="43" spans="1:9" x14ac:dyDescent="0.2">
      <c r="A43" s="16"/>
      <c r="B43" s="17"/>
      <c r="C43" s="22"/>
      <c r="D43" s="38"/>
      <c r="E43" s="16"/>
      <c r="F43" s="16"/>
      <c r="G43" s="16"/>
      <c r="H43" s="16"/>
      <c r="I43" s="38"/>
    </row>
    <row r="44" spans="1:9" x14ac:dyDescent="0.2">
      <c r="A44" s="16"/>
      <c r="B44" s="17"/>
      <c r="C44" s="22"/>
      <c r="D44" s="38"/>
      <c r="E44" s="16"/>
      <c r="F44" s="16"/>
      <c r="G44" s="16"/>
      <c r="H44" s="16"/>
      <c r="I44" s="38"/>
    </row>
    <row r="45" spans="1:9" x14ac:dyDescent="0.2">
      <c r="A45" s="16"/>
      <c r="B45" s="17"/>
      <c r="C45" s="22"/>
      <c r="D45" s="38"/>
      <c r="E45" s="16"/>
      <c r="F45" s="16"/>
      <c r="G45" s="16"/>
      <c r="H45" s="16"/>
      <c r="I45" s="38"/>
    </row>
    <row r="46" spans="1:9" x14ac:dyDescent="0.2">
      <c r="A46" s="16"/>
      <c r="B46" s="17"/>
      <c r="C46" s="22"/>
      <c r="D46" s="38"/>
      <c r="E46" s="16"/>
      <c r="F46" s="16"/>
      <c r="G46" s="16"/>
      <c r="H46" s="16"/>
      <c r="I46" s="38"/>
    </row>
    <row r="47" spans="1:9" x14ac:dyDescent="0.2">
      <c r="A47" s="16"/>
      <c r="B47" s="17"/>
      <c r="C47" s="22"/>
      <c r="D47" s="38"/>
      <c r="E47" s="16"/>
      <c r="F47" s="16"/>
      <c r="G47" s="16"/>
      <c r="H47" s="16"/>
      <c r="I47" s="38"/>
    </row>
    <row r="48" spans="1:9" x14ac:dyDescent="0.2">
      <c r="A48" s="16"/>
      <c r="B48" s="17"/>
      <c r="C48" s="22"/>
      <c r="D48" s="38"/>
      <c r="E48" s="16"/>
      <c r="F48" s="16"/>
      <c r="G48" s="16"/>
      <c r="H48" s="16"/>
      <c r="I48" s="38"/>
    </row>
    <row r="49" spans="1:9" x14ac:dyDescent="0.2">
      <c r="A49" s="16"/>
      <c r="B49" s="17"/>
      <c r="C49" s="22"/>
      <c r="D49" s="38"/>
      <c r="E49" s="16"/>
      <c r="F49" s="16"/>
      <c r="G49" s="16"/>
      <c r="H49" s="16"/>
      <c r="I49" s="38"/>
    </row>
    <row r="50" spans="1:9" x14ac:dyDescent="0.2">
      <c r="A50" s="16"/>
      <c r="B50" s="17"/>
      <c r="C50" s="22"/>
      <c r="D50" s="38"/>
      <c r="E50" s="16"/>
      <c r="F50" s="16"/>
      <c r="G50" s="16"/>
      <c r="H50" s="16"/>
      <c r="I50" s="38"/>
    </row>
    <row r="51" spans="1:9" x14ac:dyDescent="0.2">
      <c r="A51" s="16"/>
      <c r="B51" s="17"/>
      <c r="C51" s="22"/>
      <c r="D51" s="38"/>
      <c r="E51" s="16"/>
      <c r="F51" s="16"/>
      <c r="G51" s="16"/>
      <c r="H51" s="16"/>
      <c r="I51" s="38"/>
    </row>
    <row r="52" spans="1:9" x14ac:dyDescent="0.2">
      <c r="A52" s="16"/>
      <c r="B52" s="17"/>
      <c r="C52" s="22"/>
      <c r="D52" s="38"/>
      <c r="E52" s="16"/>
      <c r="F52" s="16"/>
      <c r="G52" s="16"/>
      <c r="H52" s="16"/>
      <c r="I52" s="38"/>
    </row>
    <row r="53" spans="1:9" x14ac:dyDescent="0.2">
      <c r="A53" s="16"/>
      <c r="B53" s="17"/>
      <c r="C53" s="22"/>
      <c r="D53" s="38"/>
      <c r="E53" s="16"/>
      <c r="F53" s="16"/>
      <c r="G53" s="16"/>
      <c r="H53" s="16"/>
      <c r="I53" s="38"/>
    </row>
    <row r="54" spans="1:9" x14ac:dyDescent="0.2">
      <c r="A54" s="16"/>
      <c r="B54" s="17"/>
      <c r="C54" s="22"/>
      <c r="D54" s="38"/>
      <c r="E54" s="16"/>
      <c r="F54" s="16"/>
      <c r="G54" s="16"/>
      <c r="H54" s="16"/>
      <c r="I54" s="38"/>
    </row>
    <row r="55" spans="1:9" x14ac:dyDescent="0.2">
      <c r="A55" s="16"/>
      <c r="B55" s="17"/>
      <c r="C55" s="22"/>
      <c r="D55" s="38"/>
      <c r="E55" s="16"/>
      <c r="F55" s="16"/>
      <c r="G55" s="16"/>
      <c r="H55" s="16"/>
      <c r="I55" s="38"/>
    </row>
    <row r="56" spans="1:9" x14ac:dyDescent="0.2">
      <c r="A56" s="16"/>
      <c r="B56" s="17"/>
      <c r="C56" s="22"/>
      <c r="D56" s="38"/>
      <c r="E56" s="16"/>
      <c r="F56" s="16"/>
      <c r="G56" s="16"/>
      <c r="H56" s="16"/>
      <c r="I56" s="38"/>
    </row>
    <row r="57" spans="1:9" x14ac:dyDescent="0.2">
      <c r="A57" s="16"/>
      <c r="B57" s="17"/>
      <c r="C57" s="22"/>
      <c r="D57" s="38"/>
      <c r="E57" s="16"/>
      <c r="F57" s="16"/>
      <c r="G57" s="16"/>
      <c r="H57" s="16"/>
      <c r="I57" s="38"/>
    </row>
    <row r="58" spans="1:9" x14ac:dyDescent="0.2">
      <c r="A58" s="16"/>
      <c r="B58" s="17"/>
      <c r="C58" s="22"/>
      <c r="D58" s="38"/>
      <c r="E58" s="16"/>
      <c r="F58" s="16"/>
      <c r="G58" s="16"/>
      <c r="H58" s="16"/>
      <c r="I58" s="38"/>
    </row>
    <row r="59" spans="1:9" x14ac:dyDescent="0.2">
      <c r="A59" s="16"/>
      <c r="B59" s="17"/>
      <c r="C59" s="22"/>
      <c r="D59" s="38"/>
      <c r="E59" s="16"/>
      <c r="F59" s="16"/>
      <c r="G59" s="16"/>
      <c r="H59" s="16"/>
      <c r="I59" s="38"/>
    </row>
    <row r="60" spans="1:9" x14ac:dyDescent="0.2">
      <c r="A60" s="16"/>
      <c r="B60" s="17"/>
      <c r="C60" s="22"/>
      <c r="D60" s="38"/>
      <c r="E60" s="16"/>
      <c r="F60" s="16"/>
      <c r="G60" s="16"/>
      <c r="H60" s="16"/>
      <c r="I60" s="38"/>
    </row>
    <row r="61" spans="1:9" x14ac:dyDescent="0.2">
      <c r="A61" s="16"/>
      <c r="B61" s="17"/>
      <c r="C61" s="22"/>
      <c r="D61" s="38"/>
      <c r="E61" s="16"/>
      <c r="F61" s="16"/>
      <c r="G61" s="16"/>
      <c r="H61" s="16"/>
      <c r="I61" s="38"/>
    </row>
    <row r="62" spans="1:9" x14ac:dyDescent="0.2">
      <c r="A62" s="16"/>
      <c r="B62" s="17"/>
      <c r="C62" s="22"/>
      <c r="D62" s="38"/>
      <c r="E62" s="16"/>
      <c r="F62" s="16"/>
      <c r="G62" s="16"/>
      <c r="H62" s="16"/>
      <c r="I62" s="38"/>
    </row>
    <row r="63" spans="1:9" x14ac:dyDescent="0.2">
      <c r="A63" s="16"/>
      <c r="B63" s="17"/>
      <c r="C63" s="22"/>
      <c r="D63" s="38"/>
      <c r="E63" s="16"/>
      <c r="F63" s="16"/>
      <c r="G63" s="16"/>
      <c r="H63" s="16"/>
      <c r="I63" s="38"/>
    </row>
    <row r="64" spans="1:9" x14ac:dyDescent="0.2">
      <c r="A64" s="16"/>
      <c r="B64" s="17"/>
      <c r="C64" s="22"/>
      <c r="D64" s="38"/>
      <c r="E64" s="16"/>
      <c r="F64" s="16"/>
      <c r="G64" s="16"/>
      <c r="H64" s="16"/>
      <c r="I64" s="38"/>
    </row>
    <row r="65" spans="1:9" x14ac:dyDescent="0.2">
      <c r="A65" s="16"/>
      <c r="B65" s="17"/>
      <c r="C65" s="22"/>
      <c r="D65" s="38"/>
      <c r="E65" s="16"/>
      <c r="F65" s="16"/>
      <c r="G65" s="16"/>
      <c r="H65" s="16"/>
      <c r="I65" s="38"/>
    </row>
    <row r="66" spans="1:9" x14ac:dyDescent="0.2">
      <c r="A66" s="16"/>
      <c r="B66" s="17"/>
      <c r="C66" s="22"/>
      <c r="D66" s="38"/>
      <c r="E66" s="16"/>
      <c r="F66" s="16"/>
      <c r="G66" s="16"/>
      <c r="H66" s="16"/>
      <c r="I66" s="38"/>
    </row>
    <row r="67" spans="1:9" x14ac:dyDescent="0.2">
      <c r="A67" s="16"/>
      <c r="B67" s="17"/>
      <c r="C67" s="22"/>
      <c r="D67" s="38"/>
      <c r="E67" s="16"/>
      <c r="F67" s="16"/>
      <c r="G67" s="16"/>
      <c r="H67" s="16"/>
      <c r="I67" s="38"/>
    </row>
    <row r="68" spans="1:9" x14ac:dyDescent="0.2">
      <c r="A68" s="16"/>
      <c r="B68" s="17"/>
      <c r="C68" s="22"/>
      <c r="D68" s="38"/>
      <c r="E68" s="16"/>
      <c r="F68" s="16"/>
      <c r="G68" s="16"/>
      <c r="H68" s="16"/>
      <c r="I68" s="38"/>
    </row>
    <row r="69" spans="1:9" x14ac:dyDescent="0.2">
      <c r="A69" s="16"/>
      <c r="B69" s="17"/>
      <c r="C69" s="22"/>
      <c r="D69" s="38"/>
      <c r="E69" s="16"/>
      <c r="F69" s="16"/>
      <c r="G69" s="16"/>
      <c r="H69" s="16"/>
      <c r="I69" s="38"/>
    </row>
    <row r="70" spans="1:9" x14ac:dyDescent="0.2">
      <c r="A70" s="16"/>
      <c r="B70" s="17"/>
      <c r="C70" s="22"/>
      <c r="D70" s="38"/>
      <c r="E70" s="16"/>
      <c r="F70" s="16"/>
      <c r="G70" s="16"/>
      <c r="H70" s="16"/>
      <c r="I70" s="38"/>
    </row>
    <row r="71" spans="1:9" x14ac:dyDescent="0.2">
      <c r="A71" s="16"/>
      <c r="B71" s="17"/>
      <c r="C71" s="22"/>
      <c r="D71" s="38"/>
      <c r="E71" s="16"/>
      <c r="F71" s="16"/>
      <c r="G71" s="16"/>
      <c r="H71" s="16"/>
      <c r="I71" s="38"/>
    </row>
    <row r="72" spans="1:9" x14ac:dyDescent="0.2">
      <c r="A72" s="16"/>
      <c r="B72" s="17"/>
      <c r="C72" s="22"/>
      <c r="D72" s="38"/>
      <c r="E72" s="16"/>
      <c r="F72" s="16"/>
      <c r="G72" s="16"/>
      <c r="H72" s="16"/>
      <c r="I72" s="38"/>
    </row>
    <row r="73" spans="1:9" x14ac:dyDescent="0.2">
      <c r="A73" s="16"/>
      <c r="B73" s="17"/>
      <c r="C73" s="22"/>
      <c r="D73" s="38"/>
      <c r="E73" s="16"/>
      <c r="F73" s="16"/>
      <c r="G73" s="16"/>
      <c r="H73" s="16"/>
      <c r="I73" s="38"/>
    </row>
    <row r="74" spans="1:9" x14ac:dyDescent="0.2">
      <c r="A74" s="16"/>
      <c r="B74" s="17"/>
      <c r="C74" s="22"/>
      <c r="D74" s="38"/>
      <c r="E74" s="16"/>
      <c r="F74" s="16"/>
      <c r="G74" s="16"/>
      <c r="H74" s="16"/>
      <c r="I74" s="38"/>
    </row>
    <row r="75" spans="1:9" x14ac:dyDescent="0.2">
      <c r="A75" s="16"/>
      <c r="B75" s="17"/>
      <c r="C75" s="22"/>
      <c r="D75" s="38"/>
      <c r="E75" s="16"/>
      <c r="F75" s="16"/>
      <c r="G75" s="16"/>
      <c r="H75" s="16"/>
      <c r="I75" s="38"/>
    </row>
    <row r="76" spans="1:9" x14ac:dyDescent="0.2">
      <c r="A76" s="16"/>
      <c r="B76" s="17"/>
      <c r="C76" s="22"/>
      <c r="D76" s="38"/>
      <c r="E76" s="16"/>
      <c r="F76" s="16"/>
      <c r="G76" s="16"/>
      <c r="H76" s="16"/>
      <c r="I76" s="38"/>
    </row>
    <row r="77" spans="1:9" x14ac:dyDescent="0.2">
      <c r="A77" s="16"/>
      <c r="B77" s="17"/>
      <c r="C77" s="22"/>
      <c r="D77" s="38"/>
      <c r="E77" s="16"/>
      <c r="F77" s="16"/>
      <c r="G77" s="16"/>
      <c r="H77" s="16"/>
      <c r="I77" s="38"/>
    </row>
    <row r="78" spans="1:9" x14ac:dyDescent="0.2">
      <c r="A78" s="16"/>
      <c r="B78" s="17"/>
      <c r="C78" s="22"/>
      <c r="D78" s="38"/>
      <c r="E78" s="16"/>
      <c r="F78" s="16"/>
      <c r="G78" s="16"/>
      <c r="H78" s="16"/>
      <c r="I78" s="38"/>
    </row>
    <row r="79" spans="1:9" x14ac:dyDescent="0.2">
      <c r="A79" s="16"/>
      <c r="B79" s="17"/>
      <c r="C79" s="22"/>
      <c r="D79" s="38"/>
      <c r="E79" s="16"/>
      <c r="F79" s="16"/>
      <c r="G79" s="16"/>
      <c r="H79" s="16"/>
      <c r="I79" s="38"/>
    </row>
    <row r="80" spans="1:9" x14ac:dyDescent="0.2">
      <c r="A80" s="16"/>
      <c r="B80" s="17"/>
      <c r="C80" s="22"/>
      <c r="D80" s="38"/>
      <c r="E80" s="16"/>
      <c r="F80" s="16"/>
      <c r="G80" s="16"/>
      <c r="H80" s="16"/>
      <c r="I80" s="38"/>
    </row>
    <row r="81" spans="1:9" x14ac:dyDescent="0.2">
      <c r="A81" s="16"/>
      <c r="B81" s="17"/>
      <c r="C81" s="22"/>
      <c r="D81" s="38"/>
      <c r="E81" s="16"/>
      <c r="F81" s="16"/>
      <c r="G81" s="16"/>
      <c r="H81" s="16"/>
      <c r="I81" s="38"/>
    </row>
    <row r="82" spans="1:9" x14ac:dyDescent="0.2">
      <c r="A82" s="16"/>
      <c r="B82" s="17"/>
      <c r="C82" s="22"/>
      <c r="D82" s="38"/>
      <c r="E82" s="16"/>
      <c r="F82" s="16"/>
      <c r="G82" s="16"/>
      <c r="H82" s="16"/>
      <c r="I82" s="38"/>
    </row>
    <row r="83" spans="1:9" x14ac:dyDescent="0.2">
      <c r="A83" s="16"/>
      <c r="B83" s="17"/>
      <c r="C83" s="22"/>
      <c r="D83" s="38"/>
      <c r="E83" s="16"/>
      <c r="F83" s="16"/>
      <c r="G83" s="16"/>
      <c r="H83" s="16"/>
      <c r="I83" s="38"/>
    </row>
    <row r="84" spans="1:9" x14ac:dyDescent="0.2">
      <c r="A84" s="16"/>
      <c r="B84" s="17"/>
      <c r="C84" s="22"/>
      <c r="D84" s="38"/>
      <c r="E84" s="16"/>
      <c r="F84" s="16"/>
      <c r="G84" s="16"/>
      <c r="H84" s="16"/>
      <c r="I84" s="38"/>
    </row>
    <row r="85" spans="1:9" x14ac:dyDescent="0.2">
      <c r="A85" s="16"/>
      <c r="B85" s="17"/>
      <c r="C85" s="22"/>
      <c r="D85" s="38"/>
      <c r="E85" s="16"/>
      <c r="F85" s="16"/>
      <c r="G85" s="16"/>
      <c r="H85" s="16"/>
      <c r="I85" s="38"/>
    </row>
    <row r="86" spans="1:9" x14ac:dyDescent="0.2">
      <c r="A86" s="16"/>
      <c r="B86" s="17"/>
      <c r="C86" s="22"/>
      <c r="D86" s="38"/>
      <c r="E86" s="16"/>
      <c r="F86" s="16"/>
      <c r="G86" s="16"/>
      <c r="H86" s="16"/>
      <c r="I86" s="38"/>
    </row>
    <row r="87" spans="1:9" x14ac:dyDescent="0.2">
      <c r="A87" s="16"/>
      <c r="B87" s="17"/>
      <c r="C87" s="22"/>
      <c r="D87" s="38"/>
      <c r="E87" s="16"/>
      <c r="F87" s="16"/>
      <c r="G87" s="16"/>
      <c r="H87" s="16"/>
      <c r="I87" s="38"/>
    </row>
    <row r="88" spans="1:9" x14ac:dyDescent="0.2">
      <c r="A88" s="16"/>
      <c r="B88" s="17"/>
      <c r="C88" s="22"/>
      <c r="D88" s="38"/>
      <c r="E88" s="16"/>
      <c r="F88" s="16"/>
      <c r="G88" s="16"/>
      <c r="H88" s="16"/>
      <c r="I88" s="38"/>
    </row>
    <row r="89" spans="1:9" x14ac:dyDescent="0.2">
      <c r="A89" s="16"/>
      <c r="B89" s="17"/>
      <c r="C89" s="22"/>
      <c r="D89" s="38"/>
      <c r="E89" s="16"/>
      <c r="F89" s="16"/>
      <c r="G89" s="16"/>
      <c r="H89" s="16"/>
      <c r="I89" s="38"/>
    </row>
    <row r="90" spans="1:9" x14ac:dyDescent="0.2">
      <c r="A90" s="16"/>
      <c r="B90" s="17"/>
      <c r="C90" s="22"/>
      <c r="D90" s="38"/>
      <c r="E90" s="16"/>
      <c r="F90" s="16"/>
      <c r="G90" s="16"/>
      <c r="H90" s="16"/>
      <c r="I90" s="38"/>
    </row>
    <row r="91" spans="1:9" x14ac:dyDescent="0.2">
      <c r="A91" s="16"/>
      <c r="B91" s="17"/>
      <c r="C91" s="22"/>
      <c r="D91" s="38"/>
      <c r="E91" s="16"/>
      <c r="F91" s="16"/>
      <c r="G91" s="16"/>
      <c r="H91" s="16"/>
      <c r="I91" s="38"/>
    </row>
    <row r="92" spans="1:9" x14ac:dyDescent="0.2">
      <c r="A92" s="16"/>
      <c r="B92" s="17"/>
      <c r="C92" s="22"/>
      <c r="D92" s="38"/>
      <c r="E92" s="16"/>
      <c r="F92" s="16"/>
      <c r="G92" s="16"/>
      <c r="H92" s="16"/>
      <c r="I92" s="38"/>
    </row>
    <row r="93" spans="1:9" x14ac:dyDescent="0.2">
      <c r="A93" s="16"/>
      <c r="B93" s="17"/>
      <c r="C93" s="22"/>
      <c r="D93" s="38"/>
      <c r="E93" s="16"/>
      <c r="F93" s="16"/>
      <c r="G93" s="16"/>
      <c r="H93" s="16"/>
      <c r="I93" s="38"/>
    </row>
    <row r="94" spans="1:9" x14ac:dyDescent="0.2">
      <c r="A94" s="16"/>
      <c r="B94" s="17"/>
      <c r="C94" s="22"/>
      <c r="D94" s="38"/>
      <c r="E94" s="16"/>
      <c r="F94" s="16"/>
      <c r="G94" s="16"/>
      <c r="H94" s="16"/>
      <c r="I94" s="38"/>
    </row>
    <row r="95" spans="1:9" x14ac:dyDescent="0.2">
      <c r="A95" s="16"/>
      <c r="B95" s="17"/>
      <c r="C95" s="22"/>
      <c r="D95" s="38"/>
      <c r="E95" s="16"/>
      <c r="F95" s="16"/>
      <c r="G95" s="16"/>
      <c r="H95" s="16"/>
      <c r="I95" s="38"/>
    </row>
    <row r="96" spans="1:9" x14ac:dyDescent="0.2">
      <c r="A96" s="16"/>
      <c r="B96" s="17"/>
      <c r="C96" s="22"/>
      <c r="D96" s="38"/>
      <c r="E96" s="16"/>
      <c r="F96" s="16"/>
      <c r="G96" s="16"/>
      <c r="H96" s="16"/>
      <c r="I96" s="38"/>
    </row>
    <row r="97" spans="1:9" x14ac:dyDescent="0.2">
      <c r="A97" s="16"/>
      <c r="B97" s="17"/>
      <c r="C97" s="22"/>
      <c r="D97" s="38"/>
      <c r="E97" s="16"/>
      <c r="F97" s="16"/>
      <c r="G97" s="16"/>
      <c r="H97" s="16"/>
      <c r="I97" s="38"/>
    </row>
    <row r="98" spans="1:9" x14ac:dyDescent="0.2">
      <c r="A98" s="16"/>
      <c r="B98" s="17"/>
      <c r="C98" s="22"/>
      <c r="D98" s="38"/>
      <c r="E98" s="16"/>
      <c r="F98" s="16"/>
      <c r="G98" s="16"/>
      <c r="H98" s="16"/>
      <c r="I98" s="38"/>
    </row>
    <row r="99" spans="1:9" x14ac:dyDescent="0.2">
      <c r="A99" s="16"/>
      <c r="B99" s="17"/>
      <c r="C99" s="22"/>
      <c r="D99" s="38"/>
      <c r="E99" s="16"/>
      <c r="F99" s="16"/>
      <c r="G99" s="16"/>
      <c r="H99" s="16"/>
      <c r="I99" s="38"/>
    </row>
    <row r="100" spans="1:9" x14ac:dyDescent="0.2">
      <c r="A100" s="16"/>
      <c r="B100" s="17"/>
      <c r="C100" s="22"/>
      <c r="D100" s="38"/>
      <c r="E100" s="16"/>
      <c r="F100" s="16"/>
      <c r="G100" s="16"/>
      <c r="H100" s="16"/>
      <c r="I100" s="38"/>
    </row>
    <row r="101" spans="1:9" x14ac:dyDescent="0.2">
      <c r="A101" s="16"/>
      <c r="B101" s="17"/>
      <c r="C101" s="22"/>
      <c r="D101" s="38"/>
      <c r="E101" s="16"/>
      <c r="F101" s="16"/>
      <c r="G101" s="16"/>
      <c r="H101" s="16"/>
      <c r="I101" s="38"/>
    </row>
    <row r="102" spans="1:9" x14ac:dyDescent="0.2">
      <c r="A102" s="16"/>
      <c r="B102" s="17"/>
      <c r="C102" s="22"/>
      <c r="D102" s="38"/>
      <c r="E102" s="16"/>
      <c r="F102" s="16"/>
      <c r="G102" s="16"/>
      <c r="H102" s="16"/>
      <c r="I102" s="38"/>
    </row>
    <row r="103" spans="1:9" x14ac:dyDescent="0.2">
      <c r="A103" s="16"/>
      <c r="B103" s="17"/>
      <c r="C103" s="22"/>
      <c r="D103" s="38"/>
      <c r="E103" s="16"/>
      <c r="F103" s="16"/>
      <c r="G103" s="16"/>
      <c r="H103" s="16"/>
      <c r="I103" s="38"/>
    </row>
    <row r="104" spans="1:9" x14ac:dyDescent="0.2">
      <c r="A104" s="16"/>
      <c r="B104" s="17"/>
      <c r="C104" s="22"/>
      <c r="D104" s="38"/>
      <c r="E104" s="16"/>
      <c r="F104" s="16"/>
      <c r="G104" s="16"/>
      <c r="H104" s="16"/>
      <c r="I104" s="38"/>
    </row>
    <row r="105" spans="1:9" x14ac:dyDescent="0.2">
      <c r="A105" s="16"/>
      <c r="B105" s="17"/>
      <c r="C105" s="22"/>
      <c r="D105" s="38"/>
      <c r="E105" s="16"/>
      <c r="F105" s="16"/>
      <c r="G105" s="16"/>
      <c r="H105" s="16"/>
      <c r="I105" s="38"/>
    </row>
    <row r="106" spans="1:9" x14ac:dyDescent="0.2">
      <c r="A106" s="16"/>
      <c r="B106" s="17"/>
      <c r="C106" s="22"/>
      <c r="D106" s="38"/>
      <c r="E106" s="16"/>
      <c r="F106" s="16"/>
      <c r="G106" s="16"/>
      <c r="H106" s="16"/>
      <c r="I106" s="38"/>
    </row>
    <row r="107" spans="1:9" x14ac:dyDescent="0.2">
      <c r="A107" s="16"/>
      <c r="B107" s="17"/>
      <c r="C107" s="22"/>
      <c r="D107" s="38"/>
      <c r="E107" s="16"/>
      <c r="F107" s="16"/>
      <c r="G107" s="16"/>
      <c r="H107" s="16"/>
      <c r="I107" s="38"/>
    </row>
    <row r="108" spans="1:9" x14ac:dyDescent="0.2">
      <c r="A108" s="16"/>
      <c r="B108" s="17"/>
      <c r="C108" s="22"/>
      <c r="D108" s="38"/>
      <c r="E108" s="16"/>
      <c r="F108" s="16"/>
      <c r="G108" s="16"/>
      <c r="H108" s="16"/>
      <c r="I108" s="38"/>
    </row>
    <row r="109" spans="1:9" x14ac:dyDescent="0.2">
      <c r="A109" s="16"/>
      <c r="B109" s="17"/>
      <c r="C109" s="22"/>
      <c r="D109" s="38"/>
      <c r="E109" s="16"/>
      <c r="F109" s="16"/>
      <c r="G109" s="16"/>
      <c r="H109" s="16"/>
      <c r="I109" s="38"/>
    </row>
    <row r="110" spans="1:9" x14ac:dyDescent="0.2">
      <c r="A110" s="16"/>
      <c r="B110" s="17"/>
      <c r="C110" s="22"/>
      <c r="D110" s="38"/>
      <c r="E110" s="16"/>
      <c r="F110" s="16"/>
      <c r="G110" s="16"/>
      <c r="H110" s="16"/>
      <c r="I110" s="38"/>
    </row>
    <row r="111" spans="1:9" x14ac:dyDescent="0.2">
      <c r="A111" s="16"/>
      <c r="B111" s="17"/>
      <c r="C111" s="22"/>
      <c r="D111" s="38"/>
      <c r="E111" s="16"/>
      <c r="F111" s="16"/>
      <c r="G111" s="16"/>
      <c r="H111" s="16"/>
      <c r="I111" s="38"/>
    </row>
    <row r="112" spans="1:9" x14ac:dyDescent="0.2">
      <c r="A112" s="16"/>
      <c r="B112" s="17"/>
      <c r="C112" s="22"/>
      <c r="D112" s="38"/>
      <c r="E112" s="16"/>
      <c r="F112" s="16"/>
      <c r="G112" s="16"/>
      <c r="H112" s="16"/>
      <c r="I112" s="38"/>
    </row>
    <row r="113" spans="1:9" x14ac:dyDescent="0.2">
      <c r="A113" s="16"/>
      <c r="B113" s="17"/>
      <c r="C113" s="22"/>
      <c r="D113" s="38"/>
      <c r="E113" s="16"/>
      <c r="F113" s="16"/>
      <c r="G113" s="16"/>
      <c r="H113" s="16"/>
      <c r="I113" s="38"/>
    </row>
    <row r="114" spans="1:9" x14ac:dyDescent="0.2">
      <c r="A114" s="16"/>
      <c r="B114" s="17"/>
      <c r="C114" s="22"/>
      <c r="D114" s="38"/>
      <c r="E114" s="16"/>
      <c r="F114" s="16"/>
      <c r="G114" s="16"/>
      <c r="H114" s="16"/>
      <c r="I114" s="38"/>
    </row>
    <row r="115" spans="1:9" x14ac:dyDescent="0.2">
      <c r="A115" s="16"/>
      <c r="B115" s="17"/>
      <c r="C115" s="22"/>
      <c r="D115" s="38"/>
      <c r="E115" s="16"/>
      <c r="F115" s="16"/>
      <c r="G115" s="16"/>
      <c r="H115" s="16"/>
      <c r="I115" s="38"/>
    </row>
  </sheetData>
  <mergeCells count="7">
    <mergeCell ref="K7:R7"/>
    <mergeCell ref="B1:I1"/>
    <mergeCell ref="B2:I2"/>
    <mergeCell ref="B3:I3"/>
    <mergeCell ref="B4:I4"/>
    <mergeCell ref="B5:I5"/>
    <mergeCell ref="B6:I6"/>
  </mergeCells>
  <pageMargins left="0.45" right="0.45" top="0.75" bottom="0.5" header="0.3" footer="0.3"/>
  <pageSetup scale="85" orientation="portrait" r:id="rId1"/>
  <headerFooter>
    <oddFooter>&amp;CPage no  &amp;P  MB-  1003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4"/>
  <sheetViews>
    <sheetView view="pageBreakPreview" topLeftCell="A7" zoomScale="90" zoomScaleSheetLayoutView="90" workbookViewId="0">
      <selection activeCell="B7" sqref="B7:B8"/>
    </sheetView>
  </sheetViews>
  <sheetFormatPr defaultColWidth="9.140625" defaultRowHeight="14.25" x14ac:dyDescent="0.2"/>
  <cols>
    <col min="1" max="1" width="10.140625" style="8" customWidth="1"/>
    <col min="2" max="2" width="7" style="18" customWidth="1"/>
    <col min="3" max="3" width="42.85546875" style="23" customWidth="1"/>
    <col min="4" max="4" width="4.28515625" style="39" bestFit="1" customWidth="1"/>
    <col min="5" max="6" width="9.28515625" style="8" bestFit="1" customWidth="1"/>
    <col min="7" max="7" width="7.7109375" style="8" bestFit="1" customWidth="1"/>
    <col min="8" max="8" width="11.85546875" style="8" customWidth="1"/>
    <col min="9" max="9" width="9.28515625" style="39" customWidth="1"/>
    <col min="10" max="10" width="9.140625" style="8"/>
    <col min="11" max="12" width="9.28515625" style="8" bestFit="1" customWidth="1"/>
    <col min="13" max="13" width="9.7109375" style="8" bestFit="1" customWidth="1"/>
    <col min="14" max="16384" width="9.140625" style="8"/>
  </cols>
  <sheetData>
    <row r="1" spans="1:18" ht="34.15" customHeight="1" x14ac:dyDescent="0.2">
      <c r="A1" s="26" t="s">
        <v>16</v>
      </c>
      <c r="B1" s="186" t="s">
        <v>23</v>
      </c>
      <c r="C1" s="187"/>
      <c r="D1" s="187"/>
      <c r="E1" s="187"/>
      <c r="F1" s="187"/>
      <c r="G1" s="187"/>
      <c r="H1" s="187"/>
      <c r="I1" s="188"/>
    </row>
    <row r="2" spans="1:18" ht="24.75" customHeight="1" x14ac:dyDescent="0.2">
      <c r="A2" s="26" t="s">
        <v>17</v>
      </c>
      <c r="B2" s="168" t="s">
        <v>26</v>
      </c>
      <c r="C2" s="169"/>
      <c r="D2" s="169"/>
      <c r="E2" s="169"/>
      <c r="F2" s="169"/>
      <c r="G2" s="169"/>
      <c r="H2" s="169"/>
      <c r="I2" s="170"/>
    </row>
    <row r="3" spans="1:18" ht="24.75" customHeight="1" x14ac:dyDescent="0.2">
      <c r="A3" s="27" t="s">
        <v>31</v>
      </c>
      <c r="B3" s="168" t="s">
        <v>33</v>
      </c>
      <c r="C3" s="169"/>
      <c r="D3" s="169"/>
      <c r="E3" s="169"/>
      <c r="F3" s="169"/>
      <c r="G3" s="169"/>
      <c r="H3" s="169"/>
      <c r="I3" s="170"/>
    </row>
    <row r="4" spans="1:18" ht="24.75" customHeight="1" x14ac:dyDescent="0.2">
      <c r="A4" s="27" t="s">
        <v>18</v>
      </c>
      <c r="B4" s="168" t="s">
        <v>28</v>
      </c>
      <c r="C4" s="169"/>
      <c r="D4" s="169"/>
      <c r="E4" s="169"/>
      <c r="F4" s="169"/>
      <c r="G4" s="169"/>
      <c r="H4" s="169"/>
      <c r="I4" s="170"/>
    </row>
    <row r="5" spans="1:18" ht="24.75" customHeight="1" x14ac:dyDescent="0.2">
      <c r="A5" s="27" t="s">
        <v>30</v>
      </c>
      <c r="B5" s="168" t="s">
        <v>29</v>
      </c>
      <c r="C5" s="169"/>
      <c r="D5" s="169"/>
      <c r="E5" s="169"/>
      <c r="F5" s="169"/>
      <c r="G5" s="169"/>
      <c r="H5" s="169"/>
      <c r="I5" s="170"/>
    </row>
    <row r="6" spans="1:18" ht="25.5" customHeight="1" x14ac:dyDescent="0.2">
      <c r="A6" s="27" t="s">
        <v>19</v>
      </c>
      <c r="B6" s="171" t="s">
        <v>39</v>
      </c>
      <c r="C6" s="172">
        <v>1</v>
      </c>
      <c r="D6" s="172"/>
      <c r="E6" s="172"/>
      <c r="F6" s="172"/>
      <c r="G6" s="172"/>
      <c r="H6" s="172"/>
      <c r="I6" s="173"/>
      <c r="L6" s="9"/>
    </row>
    <row r="7" spans="1:18" ht="24.95" customHeight="1" x14ac:dyDescent="0.2">
      <c r="A7" s="177" t="s">
        <v>20</v>
      </c>
      <c r="B7" s="177" t="s">
        <v>14</v>
      </c>
      <c r="C7" s="178" t="s">
        <v>4</v>
      </c>
      <c r="D7" s="182" t="s">
        <v>21</v>
      </c>
      <c r="E7" s="182"/>
      <c r="F7" s="182"/>
      <c r="G7" s="182"/>
      <c r="H7" s="182"/>
      <c r="I7" s="182" t="s">
        <v>8</v>
      </c>
      <c r="J7" s="10"/>
      <c r="K7" s="181"/>
      <c r="L7" s="181"/>
      <c r="M7" s="181"/>
      <c r="N7" s="181"/>
      <c r="O7" s="181"/>
      <c r="P7" s="181"/>
      <c r="Q7" s="181"/>
      <c r="R7" s="181"/>
    </row>
    <row r="8" spans="1:18" ht="31.5" customHeight="1" x14ac:dyDescent="0.2">
      <c r="A8" s="177"/>
      <c r="B8" s="177"/>
      <c r="C8" s="179"/>
      <c r="D8" s="134" t="s">
        <v>15</v>
      </c>
      <c r="E8" s="134" t="s">
        <v>0</v>
      </c>
      <c r="F8" s="134" t="s">
        <v>1</v>
      </c>
      <c r="G8" s="29" t="s">
        <v>2</v>
      </c>
      <c r="H8" s="134" t="s">
        <v>22</v>
      </c>
      <c r="I8" s="182"/>
      <c r="J8" s="10"/>
      <c r="K8" s="180"/>
      <c r="L8" s="180"/>
      <c r="M8" s="180"/>
      <c r="N8" s="180"/>
      <c r="O8" s="180"/>
      <c r="P8" s="180"/>
      <c r="Q8" s="180"/>
      <c r="R8" s="180"/>
    </row>
    <row r="9" spans="1:18" ht="22.5" customHeight="1" x14ac:dyDescent="0.2">
      <c r="A9" s="124"/>
      <c r="B9" s="32"/>
      <c r="C9" s="32"/>
      <c r="D9" s="32"/>
      <c r="E9" s="32"/>
      <c r="F9" s="32"/>
      <c r="G9" s="32"/>
      <c r="H9" s="32"/>
      <c r="I9" s="125"/>
    </row>
    <row r="10" spans="1:18" ht="22.5" customHeight="1" x14ac:dyDescent="0.2">
      <c r="A10" s="124"/>
      <c r="B10" s="32"/>
      <c r="C10" s="32"/>
      <c r="D10" s="32"/>
      <c r="E10" s="32"/>
      <c r="F10" s="32"/>
      <c r="G10" s="32"/>
      <c r="H10" s="32"/>
      <c r="I10" s="125"/>
    </row>
    <row r="11" spans="1:18" ht="22.5" customHeight="1" x14ac:dyDescent="0.2">
      <c r="A11" s="124"/>
      <c r="B11" s="32"/>
      <c r="C11" s="32"/>
      <c r="D11" s="32"/>
      <c r="E11" s="32"/>
      <c r="F11" s="32"/>
      <c r="G11" s="32"/>
      <c r="H11" s="32"/>
      <c r="I11" s="125"/>
    </row>
    <row r="12" spans="1:18" ht="22.5" customHeight="1" x14ac:dyDescent="0.2">
      <c r="A12" s="124"/>
      <c r="B12" s="32"/>
      <c r="C12" s="32"/>
      <c r="D12" s="32"/>
      <c r="E12" s="32"/>
      <c r="F12" s="32"/>
      <c r="G12" s="32"/>
      <c r="H12" s="32"/>
      <c r="I12" s="125"/>
    </row>
    <row r="13" spans="1:18" ht="22.5" customHeight="1" x14ac:dyDescent="0.2">
      <c r="A13" s="124"/>
      <c r="B13" s="32"/>
      <c r="C13" s="32"/>
      <c r="D13" s="32"/>
      <c r="E13" s="32"/>
      <c r="F13" s="32"/>
      <c r="G13" s="32"/>
      <c r="H13" s="32"/>
      <c r="I13" s="125"/>
    </row>
    <row r="14" spans="1:18" ht="22.5" customHeight="1" x14ac:dyDescent="0.2">
      <c r="A14" s="124"/>
      <c r="B14" s="32"/>
      <c r="C14" s="32"/>
      <c r="D14" s="32"/>
      <c r="E14" s="32"/>
      <c r="F14" s="32"/>
      <c r="G14" s="32"/>
      <c r="H14" s="32"/>
      <c r="I14" s="125"/>
    </row>
    <row r="15" spans="1:18" ht="22.5" customHeight="1" x14ac:dyDescent="0.2">
      <c r="A15" s="124"/>
      <c r="B15" s="32"/>
      <c r="C15" s="32"/>
      <c r="D15" s="32"/>
      <c r="E15" s="32"/>
      <c r="F15" s="32"/>
      <c r="G15" s="32"/>
      <c r="H15" s="32"/>
      <c r="I15" s="125"/>
    </row>
    <row r="16" spans="1:18" ht="22.5" customHeight="1" x14ac:dyDescent="0.2">
      <c r="A16" s="124"/>
      <c r="B16" s="32"/>
      <c r="C16" s="32"/>
      <c r="D16" s="32"/>
      <c r="E16" s="32"/>
      <c r="F16" s="32"/>
      <c r="G16" s="32"/>
      <c r="H16" s="32"/>
      <c r="I16" s="125"/>
    </row>
    <row r="17" spans="1:9" ht="22.5" customHeight="1" x14ac:dyDescent="0.2">
      <c r="A17" s="124"/>
      <c r="B17" s="32"/>
      <c r="C17" s="32"/>
      <c r="D17" s="32"/>
      <c r="E17" s="32"/>
      <c r="F17" s="32"/>
      <c r="G17" s="32"/>
      <c r="H17" s="32"/>
      <c r="I17" s="125"/>
    </row>
    <row r="18" spans="1:9" ht="22.5" customHeight="1" x14ac:dyDescent="0.2">
      <c r="A18" s="124"/>
      <c r="B18" s="32"/>
      <c r="C18" s="32"/>
      <c r="D18" s="32"/>
      <c r="E18" s="32"/>
      <c r="F18" s="32"/>
      <c r="G18" s="32"/>
      <c r="H18" s="32"/>
      <c r="I18" s="125"/>
    </row>
    <row r="19" spans="1:9" ht="22.5" customHeight="1" x14ac:dyDescent="0.2">
      <c r="A19" s="124"/>
      <c r="B19" s="32"/>
      <c r="C19" s="32"/>
      <c r="D19" s="32"/>
      <c r="E19" s="32"/>
      <c r="F19" s="32"/>
      <c r="G19" s="32"/>
      <c r="H19" s="32"/>
      <c r="I19" s="125"/>
    </row>
    <row r="20" spans="1:9" ht="22.5" customHeight="1" x14ac:dyDescent="0.2">
      <c r="A20" s="124"/>
      <c r="B20" s="32"/>
      <c r="C20" s="32"/>
      <c r="D20" s="32"/>
      <c r="E20" s="32"/>
      <c r="F20" s="32"/>
      <c r="G20" s="32"/>
      <c r="H20" s="32"/>
      <c r="I20" s="125"/>
    </row>
    <row r="21" spans="1:9" ht="22.5" customHeight="1" x14ac:dyDescent="0.2">
      <c r="A21" s="124"/>
      <c r="B21" s="32"/>
      <c r="C21" s="32"/>
      <c r="D21" s="32"/>
      <c r="E21" s="32"/>
      <c r="F21" s="32"/>
      <c r="G21" s="32"/>
      <c r="H21" s="32"/>
      <c r="I21" s="125"/>
    </row>
    <row r="22" spans="1:9" ht="22.5" customHeight="1" x14ac:dyDescent="0.2">
      <c r="A22" s="43"/>
      <c r="B22" s="41"/>
      <c r="C22" s="21"/>
      <c r="D22" s="45"/>
      <c r="E22" s="32"/>
      <c r="F22" s="32"/>
      <c r="G22" s="32"/>
      <c r="H22" s="32"/>
      <c r="I22" s="36"/>
    </row>
    <row r="23" spans="1:9" ht="22.5" customHeight="1" x14ac:dyDescent="0.2">
      <c r="A23" s="43"/>
      <c r="B23" s="41"/>
      <c r="C23" s="21"/>
      <c r="D23" s="30"/>
      <c r="E23" s="30"/>
      <c r="F23" s="30"/>
      <c r="G23" s="11"/>
      <c r="H23" s="11"/>
      <c r="I23" s="126"/>
    </row>
    <row r="24" spans="1:9" ht="22.5" customHeight="1" x14ac:dyDescent="0.2">
      <c r="A24" s="43"/>
      <c r="B24" s="41"/>
      <c r="C24" s="21"/>
      <c r="D24" s="30"/>
      <c r="E24" s="30"/>
      <c r="F24" s="30"/>
      <c r="G24" s="11"/>
      <c r="H24" s="11"/>
      <c r="I24" s="126"/>
    </row>
    <row r="25" spans="1:9" ht="22.5" customHeight="1" x14ac:dyDescent="0.2">
      <c r="A25" s="43"/>
      <c r="B25" s="41"/>
      <c r="C25" s="47"/>
      <c r="D25" s="30"/>
      <c r="E25" s="30"/>
      <c r="F25" s="30"/>
      <c r="G25" s="11"/>
      <c r="H25" s="48"/>
      <c r="I25" s="127"/>
    </row>
    <row r="26" spans="1:9" ht="22.5" customHeight="1" x14ac:dyDescent="0.2">
      <c r="A26" s="43"/>
      <c r="B26" s="41"/>
      <c r="C26" s="21"/>
      <c r="D26" s="96"/>
      <c r="E26" s="96"/>
      <c r="F26" s="96"/>
      <c r="G26" s="96"/>
      <c r="H26" s="96"/>
      <c r="I26" s="97"/>
    </row>
    <row r="27" spans="1:9" ht="22.5" customHeight="1" x14ac:dyDescent="0.2">
      <c r="A27" s="43"/>
      <c r="B27" s="41"/>
      <c r="C27" s="21"/>
      <c r="D27" s="45"/>
      <c r="E27" s="32"/>
      <c r="F27" s="32"/>
      <c r="G27" s="32"/>
      <c r="H27" s="32"/>
      <c r="I27" s="36"/>
    </row>
    <row r="28" spans="1:9" ht="22.5" customHeight="1" x14ac:dyDescent="0.2">
      <c r="A28" s="43"/>
      <c r="B28" s="41"/>
      <c r="C28" s="21"/>
      <c r="D28" s="45"/>
      <c r="E28" s="32"/>
      <c r="F28" s="32"/>
      <c r="G28" s="32"/>
      <c r="H28" s="32"/>
      <c r="I28" s="36"/>
    </row>
    <row r="29" spans="1:9" ht="22.5" customHeight="1" x14ac:dyDescent="0.2">
      <c r="A29" s="43"/>
      <c r="B29" s="41"/>
      <c r="C29" s="21"/>
      <c r="D29" s="45"/>
      <c r="E29" s="32"/>
      <c r="F29" s="32"/>
      <c r="G29" s="32"/>
      <c r="H29" s="32"/>
      <c r="I29" s="36"/>
    </row>
    <row r="30" spans="1:9" ht="22.5" customHeight="1" x14ac:dyDescent="0.2">
      <c r="A30" s="43"/>
      <c r="B30" s="41"/>
      <c r="C30" s="21"/>
      <c r="D30" s="45"/>
      <c r="E30" s="32"/>
      <c r="F30" s="32"/>
      <c r="G30" s="32"/>
      <c r="H30" s="32"/>
      <c r="I30" s="36"/>
    </row>
    <row r="31" spans="1:9" ht="22.5" customHeight="1" x14ac:dyDescent="0.2">
      <c r="A31" s="43"/>
      <c r="B31" s="41"/>
      <c r="C31" s="21"/>
      <c r="D31" s="45"/>
      <c r="E31" s="32"/>
      <c r="F31" s="32"/>
      <c r="G31" s="32"/>
      <c r="H31" s="32"/>
      <c r="I31" s="36"/>
    </row>
    <row r="32" spans="1:9" ht="22.5" customHeight="1" x14ac:dyDescent="0.2">
      <c r="A32" s="43"/>
      <c r="B32" s="41"/>
      <c r="C32" s="21"/>
      <c r="D32" s="34"/>
      <c r="E32" s="30"/>
      <c r="F32" s="30"/>
      <c r="G32" s="30"/>
      <c r="H32" s="11"/>
      <c r="I32" s="49"/>
    </row>
    <row r="33" spans="1:9" ht="22.5" customHeight="1" x14ac:dyDescent="0.2">
      <c r="A33" s="43"/>
      <c r="B33" s="41"/>
      <c r="C33" s="21"/>
      <c r="D33" s="34"/>
      <c r="E33" s="30"/>
      <c r="F33" s="30"/>
      <c r="G33" s="30"/>
      <c r="H33" s="11"/>
      <c r="I33" s="49"/>
    </row>
    <row r="34" spans="1:9" ht="22.5" customHeight="1" x14ac:dyDescent="0.2">
      <c r="A34" s="43"/>
      <c r="B34" s="41"/>
      <c r="C34" s="47"/>
      <c r="D34" s="45"/>
      <c r="E34" s="32"/>
      <c r="F34" s="32"/>
      <c r="G34" s="32"/>
      <c r="H34" s="48"/>
      <c r="I34" s="36"/>
    </row>
    <row r="35" spans="1:9" ht="22.5" customHeight="1" x14ac:dyDescent="0.2">
      <c r="A35" s="43"/>
      <c r="B35" s="41"/>
      <c r="C35" s="21"/>
      <c r="D35" s="45"/>
      <c r="E35" s="32"/>
      <c r="F35" s="32"/>
      <c r="G35" s="32"/>
      <c r="H35" s="48"/>
      <c r="I35" s="36"/>
    </row>
    <row r="36" spans="1:9" ht="22.5" customHeight="1" x14ac:dyDescent="0.2">
      <c r="A36" s="128"/>
      <c r="B36" s="129"/>
      <c r="C36" s="130"/>
      <c r="D36" s="131"/>
      <c r="E36" s="132"/>
      <c r="F36" s="132"/>
      <c r="G36" s="132"/>
      <c r="H36" s="132"/>
      <c r="I36" s="133"/>
    </row>
    <row r="37" spans="1:9" x14ac:dyDescent="0.2">
      <c r="A37" s="16"/>
      <c r="B37" s="17"/>
      <c r="C37" s="22"/>
      <c r="D37" s="38"/>
      <c r="E37" s="16"/>
      <c r="F37" s="16"/>
      <c r="G37" s="16"/>
      <c r="H37" s="16"/>
      <c r="I37" s="38"/>
    </row>
    <row r="38" spans="1:9" x14ac:dyDescent="0.2">
      <c r="A38" s="16"/>
      <c r="B38" s="17"/>
      <c r="C38" s="22"/>
      <c r="D38" s="38"/>
      <c r="E38" s="16"/>
      <c r="F38" s="16"/>
      <c r="G38" s="16"/>
      <c r="H38" s="16"/>
      <c r="I38" s="38"/>
    </row>
    <row r="39" spans="1:9" x14ac:dyDescent="0.2">
      <c r="A39" s="16"/>
      <c r="B39" s="17"/>
      <c r="C39" s="22"/>
      <c r="D39" s="38"/>
      <c r="E39" s="16"/>
      <c r="F39" s="16"/>
      <c r="G39" s="16"/>
      <c r="H39" s="16"/>
      <c r="I39" s="38"/>
    </row>
    <row r="40" spans="1:9" x14ac:dyDescent="0.2">
      <c r="A40" s="16"/>
      <c r="B40" s="17"/>
      <c r="C40" s="22"/>
      <c r="D40" s="38"/>
      <c r="E40" s="16"/>
      <c r="F40" s="16"/>
      <c r="G40" s="16"/>
      <c r="H40" s="16"/>
      <c r="I40" s="38"/>
    </row>
    <row r="41" spans="1:9" x14ac:dyDescent="0.2">
      <c r="A41" s="16"/>
      <c r="B41" s="17"/>
      <c r="C41" s="22"/>
      <c r="D41" s="38"/>
      <c r="E41" s="16"/>
      <c r="F41" s="16"/>
      <c r="G41" s="16"/>
      <c r="H41" s="16"/>
      <c r="I41" s="38"/>
    </row>
    <row r="42" spans="1:9" x14ac:dyDescent="0.2">
      <c r="A42" s="16"/>
      <c r="B42" s="17"/>
      <c r="C42" s="22"/>
      <c r="D42" s="38"/>
      <c r="E42" s="16"/>
      <c r="F42" s="16"/>
      <c r="G42" s="16"/>
      <c r="H42" s="16"/>
      <c r="I42" s="38"/>
    </row>
    <row r="43" spans="1:9" x14ac:dyDescent="0.2">
      <c r="A43" s="16"/>
      <c r="B43" s="17"/>
      <c r="C43" s="22"/>
      <c r="D43" s="38"/>
      <c r="E43" s="16"/>
      <c r="F43" s="16"/>
      <c r="G43" s="16"/>
      <c r="H43" s="16"/>
      <c r="I43" s="38"/>
    </row>
    <row r="44" spans="1:9" x14ac:dyDescent="0.2">
      <c r="A44" s="16"/>
      <c r="B44" s="17"/>
      <c r="C44" s="22"/>
      <c r="D44" s="38"/>
      <c r="E44" s="16"/>
      <c r="F44" s="16"/>
      <c r="G44" s="16"/>
      <c r="H44" s="16"/>
      <c r="I44" s="38"/>
    </row>
    <row r="45" spans="1:9" x14ac:dyDescent="0.2">
      <c r="A45" s="16"/>
      <c r="B45" s="17"/>
      <c r="C45" s="22"/>
      <c r="D45" s="38"/>
      <c r="E45" s="16"/>
      <c r="F45" s="16"/>
      <c r="G45" s="16"/>
      <c r="H45" s="16"/>
      <c r="I45" s="38"/>
    </row>
    <row r="46" spans="1:9" x14ac:dyDescent="0.2">
      <c r="A46" s="16"/>
      <c r="B46" s="17"/>
      <c r="C46" s="22"/>
      <c r="D46" s="38"/>
      <c r="E46" s="16"/>
      <c r="F46" s="16"/>
      <c r="G46" s="16"/>
      <c r="H46" s="16"/>
      <c r="I46" s="38"/>
    </row>
    <row r="47" spans="1:9" x14ac:dyDescent="0.2">
      <c r="A47" s="16"/>
      <c r="B47" s="17"/>
      <c r="C47" s="22"/>
      <c r="D47" s="38"/>
      <c r="E47" s="16"/>
      <c r="F47" s="16"/>
      <c r="G47" s="16"/>
      <c r="H47" s="16"/>
      <c r="I47" s="38"/>
    </row>
    <row r="48" spans="1:9" x14ac:dyDescent="0.2">
      <c r="A48" s="16"/>
      <c r="B48" s="17"/>
      <c r="C48" s="22"/>
      <c r="D48" s="38"/>
      <c r="E48" s="16"/>
      <c r="F48" s="16"/>
      <c r="G48" s="16"/>
      <c r="H48" s="16"/>
      <c r="I48" s="38"/>
    </row>
    <row r="49" spans="1:9" x14ac:dyDescent="0.2">
      <c r="A49" s="16"/>
      <c r="B49" s="17"/>
      <c r="C49" s="22"/>
      <c r="D49" s="38"/>
      <c r="E49" s="16"/>
      <c r="F49" s="16"/>
      <c r="G49" s="16"/>
      <c r="H49" s="16"/>
      <c r="I49" s="38"/>
    </row>
    <row r="50" spans="1:9" x14ac:dyDescent="0.2">
      <c r="A50" s="16"/>
      <c r="B50" s="17"/>
      <c r="C50" s="22"/>
      <c r="D50" s="38"/>
      <c r="E50" s="16"/>
      <c r="F50" s="16"/>
      <c r="G50" s="16"/>
      <c r="H50" s="16"/>
      <c r="I50" s="38"/>
    </row>
    <row r="51" spans="1:9" x14ac:dyDescent="0.2">
      <c r="A51" s="16"/>
      <c r="B51" s="17"/>
      <c r="C51" s="22"/>
      <c r="D51" s="38"/>
      <c r="E51" s="16"/>
      <c r="F51" s="16"/>
      <c r="G51" s="16"/>
      <c r="H51" s="16"/>
      <c r="I51" s="38"/>
    </row>
    <row r="52" spans="1:9" x14ac:dyDescent="0.2">
      <c r="A52" s="16"/>
      <c r="B52" s="17"/>
      <c r="C52" s="22"/>
      <c r="D52" s="38"/>
      <c r="E52" s="16"/>
      <c r="F52" s="16"/>
      <c r="G52" s="16"/>
      <c r="H52" s="16"/>
      <c r="I52" s="38"/>
    </row>
    <row r="53" spans="1:9" x14ac:dyDescent="0.2">
      <c r="A53" s="16"/>
      <c r="B53" s="17"/>
      <c r="C53" s="22"/>
      <c r="D53" s="38"/>
      <c r="E53" s="16"/>
      <c r="F53" s="16"/>
      <c r="G53" s="16"/>
      <c r="H53" s="16"/>
      <c r="I53" s="38"/>
    </row>
    <row r="54" spans="1:9" x14ac:dyDescent="0.2">
      <c r="A54" s="16"/>
      <c r="B54" s="17"/>
      <c r="C54" s="22"/>
      <c r="D54" s="38"/>
      <c r="E54" s="16"/>
      <c r="F54" s="16"/>
      <c r="G54" s="16"/>
      <c r="H54" s="16"/>
      <c r="I54" s="38"/>
    </row>
    <row r="55" spans="1:9" x14ac:dyDescent="0.2">
      <c r="A55" s="16"/>
      <c r="B55" s="17"/>
      <c r="C55" s="22"/>
      <c r="D55" s="38"/>
      <c r="E55" s="16"/>
      <c r="F55" s="16"/>
      <c r="G55" s="16"/>
      <c r="H55" s="16"/>
      <c r="I55" s="38"/>
    </row>
    <row r="56" spans="1:9" x14ac:dyDescent="0.2">
      <c r="A56" s="16"/>
      <c r="B56" s="17"/>
      <c r="C56" s="22"/>
      <c r="D56" s="38"/>
      <c r="E56" s="16"/>
      <c r="F56" s="16"/>
      <c r="G56" s="16"/>
      <c r="H56" s="16"/>
      <c r="I56" s="38"/>
    </row>
    <row r="57" spans="1:9" x14ac:dyDescent="0.2">
      <c r="A57" s="16"/>
      <c r="B57" s="17"/>
      <c r="C57" s="22"/>
      <c r="D57" s="38"/>
      <c r="E57" s="16"/>
      <c r="F57" s="16"/>
      <c r="G57" s="16"/>
      <c r="H57" s="16"/>
      <c r="I57" s="38"/>
    </row>
    <row r="58" spans="1:9" x14ac:dyDescent="0.2">
      <c r="A58" s="16"/>
      <c r="B58" s="17"/>
      <c r="C58" s="22"/>
      <c r="D58" s="38"/>
      <c r="E58" s="16"/>
      <c r="F58" s="16"/>
      <c r="G58" s="16"/>
      <c r="H58" s="16"/>
      <c r="I58" s="38"/>
    </row>
    <row r="59" spans="1:9" x14ac:dyDescent="0.2">
      <c r="A59" s="16"/>
      <c r="B59" s="17"/>
      <c r="C59" s="22"/>
      <c r="D59" s="38"/>
      <c r="E59" s="16"/>
      <c r="F59" s="16"/>
      <c r="G59" s="16"/>
      <c r="H59" s="16"/>
      <c r="I59" s="38"/>
    </row>
    <row r="60" spans="1:9" x14ac:dyDescent="0.2">
      <c r="A60" s="16"/>
      <c r="B60" s="17"/>
      <c r="C60" s="22"/>
      <c r="D60" s="38"/>
      <c r="E60" s="16"/>
      <c r="F60" s="16"/>
      <c r="G60" s="16"/>
      <c r="H60" s="16"/>
      <c r="I60" s="38"/>
    </row>
    <row r="61" spans="1:9" x14ac:dyDescent="0.2">
      <c r="A61" s="16"/>
      <c r="B61" s="17"/>
      <c r="C61" s="22"/>
      <c r="D61" s="38"/>
      <c r="E61" s="16"/>
      <c r="F61" s="16"/>
      <c r="G61" s="16"/>
      <c r="H61" s="16"/>
      <c r="I61" s="38"/>
    </row>
    <row r="62" spans="1:9" x14ac:dyDescent="0.2">
      <c r="A62" s="16"/>
      <c r="B62" s="17"/>
      <c r="C62" s="22"/>
      <c r="D62" s="38"/>
      <c r="E62" s="16"/>
      <c r="F62" s="16"/>
      <c r="G62" s="16"/>
      <c r="H62" s="16"/>
      <c r="I62" s="38"/>
    </row>
    <row r="63" spans="1:9" x14ac:dyDescent="0.2">
      <c r="A63" s="16"/>
      <c r="B63" s="17"/>
      <c r="C63" s="22"/>
      <c r="D63" s="38"/>
      <c r="E63" s="16"/>
      <c r="F63" s="16"/>
      <c r="G63" s="16"/>
      <c r="H63" s="16"/>
      <c r="I63" s="38"/>
    </row>
    <row r="64" spans="1:9" x14ac:dyDescent="0.2">
      <c r="A64" s="16"/>
      <c r="B64" s="17"/>
      <c r="C64" s="22"/>
      <c r="D64" s="38"/>
      <c r="E64" s="16"/>
      <c r="F64" s="16"/>
      <c r="G64" s="16"/>
      <c r="H64" s="16"/>
      <c r="I64" s="38"/>
    </row>
    <row r="65" spans="1:9" x14ac:dyDescent="0.2">
      <c r="A65" s="16"/>
      <c r="B65" s="17"/>
      <c r="C65" s="22"/>
      <c r="D65" s="38"/>
      <c r="E65" s="16"/>
      <c r="F65" s="16"/>
      <c r="G65" s="16"/>
      <c r="H65" s="16"/>
      <c r="I65" s="38"/>
    </row>
    <row r="66" spans="1:9" x14ac:dyDescent="0.2">
      <c r="A66" s="16"/>
      <c r="B66" s="17"/>
      <c r="C66" s="22"/>
      <c r="D66" s="38"/>
      <c r="E66" s="16"/>
      <c r="F66" s="16"/>
      <c r="G66" s="16"/>
      <c r="H66" s="16"/>
      <c r="I66" s="38"/>
    </row>
    <row r="67" spans="1:9" x14ac:dyDescent="0.2">
      <c r="A67" s="16"/>
      <c r="B67" s="17"/>
      <c r="C67" s="22"/>
      <c r="D67" s="38"/>
      <c r="E67" s="16"/>
      <c r="F67" s="16"/>
      <c r="G67" s="16"/>
      <c r="H67" s="16"/>
      <c r="I67" s="38"/>
    </row>
    <row r="68" spans="1:9" x14ac:dyDescent="0.2">
      <c r="A68" s="16"/>
      <c r="B68" s="17"/>
      <c r="C68" s="22"/>
      <c r="D68" s="38"/>
      <c r="E68" s="16"/>
      <c r="F68" s="16"/>
      <c r="G68" s="16"/>
      <c r="H68" s="16"/>
      <c r="I68" s="38"/>
    </row>
    <row r="69" spans="1:9" x14ac:dyDescent="0.2">
      <c r="A69" s="16"/>
      <c r="B69" s="17"/>
      <c r="C69" s="22"/>
      <c r="D69" s="38"/>
      <c r="E69" s="16"/>
      <c r="F69" s="16"/>
      <c r="G69" s="16"/>
      <c r="H69" s="16"/>
      <c r="I69" s="38"/>
    </row>
    <row r="70" spans="1:9" x14ac:dyDescent="0.2">
      <c r="A70" s="16"/>
      <c r="B70" s="17"/>
      <c r="C70" s="22"/>
      <c r="D70" s="38"/>
      <c r="E70" s="16"/>
      <c r="F70" s="16"/>
      <c r="G70" s="16"/>
      <c r="H70" s="16"/>
      <c r="I70" s="38"/>
    </row>
    <row r="71" spans="1:9" x14ac:dyDescent="0.2">
      <c r="A71" s="16"/>
      <c r="B71" s="17"/>
      <c r="C71" s="22"/>
      <c r="D71" s="38"/>
      <c r="E71" s="16"/>
      <c r="F71" s="16"/>
      <c r="G71" s="16"/>
      <c r="H71" s="16"/>
      <c r="I71" s="38"/>
    </row>
    <row r="72" spans="1:9" x14ac:dyDescent="0.2">
      <c r="A72" s="16"/>
      <c r="B72" s="17"/>
      <c r="C72" s="22"/>
      <c r="D72" s="38"/>
      <c r="E72" s="16"/>
      <c r="F72" s="16"/>
      <c r="G72" s="16"/>
      <c r="H72" s="16"/>
      <c r="I72" s="38"/>
    </row>
    <row r="73" spans="1:9" x14ac:dyDescent="0.2">
      <c r="A73" s="16"/>
      <c r="B73" s="17"/>
      <c r="C73" s="22"/>
      <c r="D73" s="38"/>
      <c r="E73" s="16"/>
      <c r="F73" s="16"/>
      <c r="G73" s="16"/>
      <c r="H73" s="16"/>
      <c r="I73" s="38"/>
    </row>
    <row r="74" spans="1:9" x14ac:dyDescent="0.2">
      <c r="A74" s="16"/>
      <c r="B74" s="17"/>
      <c r="C74" s="22"/>
      <c r="D74" s="38"/>
      <c r="E74" s="16"/>
      <c r="F74" s="16"/>
      <c r="G74" s="16"/>
      <c r="H74" s="16"/>
      <c r="I74" s="38"/>
    </row>
    <row r="75" spans="1:9" x14ac:dyDescent="0.2">
      <c r="A75" s="16"/>
      <c r="B75" s="17"/>
      <c r="C75" s="22"/>
      <c r="D75" s="38"/>
      <c r="E75" s="16"/>
      <c r="F75" s="16"/>
      <c r="G75" s="16"/>
      <c r="H75" s="16"/>
      <c r="I75" s="38"/>
    </row>
    <row r="76" spans="1:9" x14ac:dyDescent="0.2">
      <c r="A76" s="16"/>
      <c r="B76" s="17"/>
      <c r="C76" s="22"/>
      <c r="D76" s="38"/>
      <c r="E76" s="16"/>
      <c r="F76" s="16"/>
      <c r="G76" s="16"/>
      <c r="H76" s="16"/>
      <c r="I76" s="38"/>
    </row>
    <row r="77" spans="1:9" x14ac:dyDescent="0.2">
      <c r="A77" s="16"/>
      <c r="B77" s="17"/>
      <c r="C77" s="22"/>
      <c r="D77" s="38"/>
      <c r="E77" s="16"/>
      <c r="F77" s="16"/>
      <c r="G77" s="16"/>
      <c r="H77" s="16"/>
      <c r="I77" s="38"/>
    </row>
    <row r="78" spans="1:9" x14ac:dyDescent="0.2">
      <c r="A78" s="16"/>
      <c r="B78" s="17"/>
      <c r="C78" s="22"/>
      <c r="D78" s="38"/>
      <c r="E78" s="16"/>
      <c r="F78" s="16"/>
      <c r="G78" s="16"/>
      <c r="H78" s="16"/>
      <c r="I78" s="38"/>
    </row>
    <row r="79" spans="1:9" x14ac:dyDescent="0.2">
      <c r="A79" s="16"/>
      <c r="B79" s="17"/>
      <c r="C79" s="22"/>
      <c r="D79" s="38"/>
      <c r="E79" s="16"/>
      <c r="F79" s="16"/>
      <c r="G79" s="16"/>
      <c r="H79" s="16"/>
      <c r="I79" s="38"/>
    </row>
    <row r="80" spans="1:9" x14ac:dyDescent="0.2">
      <c r="A80" s="16"/>
      <c r="B80" s="17"/>
      <c r="C80" s="22"/>
      <c r="D80" s="38"/>
      <c r="E80" s="16"/>
      <c r="F80" s="16"/>
      <c r="G80" s="16"/>
      <c r="H80" s="16"/>
      <c r="I80" s="38"/>
    </row>
    <row r="81" spans="1:9" x14ac:dyDescent="0.2">
      <c r="A81" s="16"/>
      <c r="B81" s="17"/>
      <c r="C81" s="22"/>
      <c r="D81" s="38"/>
      <c r="E81" s="16"/>
      <c r="F81" s="16"/>
      <c r="G81" s="16"/>
      <c r="H81" s="16"/>
      <c r="I81" s="38"/>
    </row>
    <row r="82" spans="1:9" x14ac:dyDescent="0.2">
      <c r="A82" s="16"/>
      <c r="B82" s="17"/>
      <c r="C82" s="22"/>
      <c r="D82" s="38"/>
      <c r="E82" s="16"/>
      <c r="F82" s="16"/>
      <c r="G82" s="16"/>
      <c r="H82" s="16"/>
      <c r="I82" s="38"/>
    </row>
    <row r="83" spans="1:9" x14ac:dyDescent="0.2">
      <c r="A83" s="16"/>
      <c r="B83" s="17"/>
      <c r="C83" s="22"/>
      <c r="D83" s="38"/>
      <c r="E83" s="16"/>
      <c r="F83" s="16"/>
      <c r="G83" s="16"/>
      <c r="H83" s="16"/>
      <c r="I83" s="38"/>
    </row>
    <row r="84" spans="1:9" x14ac:dyDescent="0.2">
      <c r="A84" s="16"/>
      <c r="B84" s="17"/>
      <c r="C84" s="22"/>
      <c r="D84" s="38"/>
      <c r="E84" s="16"/>
      <c r="F84" s="16"/>
      <c r="G84" s="16"/>
      <c r="H84" s="16"/>
      <c r="I84" s="38"/>
    </row>
    <row r="85" spans="1:9" x14ac:dyDescent="0.2">
      <c r="A85" s="16"/>
      <c r="B85" s="17"/>
      <c r="C85" s="22"/>
      <c r="D85" s="38"/>
      <c r="E85" s="16"/>
      <c r="F85" s="16"/>
      <c r="G85" s="16"/>
      <c r="H85" s="16"/>
      <c r="I85" s="38"/>
    </row>
    <row r="86" spans="1:9" x14ac:dyDescent="0.2">
      <c r="A86" s="16"/>
      <c r="B86" s="17"/>
      <c r="C86" s="22"/>
      <c r="D86" s="38"/>
      <c r="E86" s="16"/>
      <c r="F86" s="16"/>
      <c r="G86" s="16"/>
      <c r="H86" s="16"/>
      <c r="I86" s="38"/>
    </row>
    <row r="87" spans="1:9" x14ac:dyDescent="0.2">
      <c r="A87" s="16"/>
      <c r="B87" s="17"/>
      <c r="C87" s="22"/>
      <c r="D87" s="38"/>
      <c r="E87" s="16"/>
      <c r="F87" s="16"/>
      <c r="G87" s="16"/>
      <c r="H87" s="16"/>
      <c r="I87" s="38"/>
    </row>
    <row r="88" spans="1:9" x14ac:dyDescent="0.2">
      <c r="A88" s="16"/>
      <c r="B88" s="17"/>
      <c r="C88" s="22"/>
      <c r="D88" s="38"/>
      <c r="E88" s="16"/>
      <c r="F88" s="16"/>
      <c r="G88" s="16"/>
      <c r="H88" s="16"/>
      <c r="I88" s="38"/>
    </row>
    <row r="89" spans="1:9" x14ac:dyDescent="0.2">
      <c r="A89" s="16"/>
      <c r="B89" s="17"/>
      <c r="C89" s="22"/>
      <c r="D89" s="38"/>
      <c r="E89" s="16"/>
      <c r="F89" s="16"/>
      <c r="G89" s="16"/>
      <c r="H89" s="16"/>
      <c r="I89" s="38"/>
    </row>
    <row r="90" spans="1:9" x14ac:dyDescent="0.2">
      <c r="A90" s="16"/>
      <c r="B90" s="17"/>
      <c r="C90" s="22"/>
      <c r="D90" s="38"/>
      <c r="E90" s="16"/>
      <c r="F90" s="16"/>
      <c r="G90" s="16"/>
      <c r="H90" s="16"/>
      <c r="I90" s="38"/>
    </row>
    <row r="91" spans="1:9" x14ac:dyDescent="0.2">
      <c r="A91" s="16"/>
      <c r="B91" s="17"/>
      <c r="C91" s="22"/>
      <c r="D91" s="38"/>
      <c r="E91" s="16"/>
      <c r="F91" s="16"/>
      <c r="G91" s="16"/>
      <c r="H91" s="16"/>
      <c r="I91" s="38"/>
    </row>
    <row r="92" spans="1:9" x14ac:dyDescent="0.2">
      <c r="A92" s="16"/>
      <c r="B92" s="17"/>
      <c r="C92" s="22"/>
      <c r="D92" s="38"/>
      <c r="E92" s="16"/>
      <c r="F92" s="16"/>
      <c r="G92" s="16"/>
      <c r="H92" s="16"/>
      <c r="I92" s="38"/>
    </row>
    <row r="93" spans="1:9" x14ac:dyDescent="0.2">
      <c r="A93" s="16"/>
      <c r="B93" s="17"/>
      <c r="C93" s="22"/>
      <c r="D93" s="38"/>
      <c r="E93" s="16"/>
      <c r="F93" s="16"/>
      <c r="G93" s="16"/>
      <c r="H93" s="16"/>
      <c r="I93" s="38"/>
    </row>
    <row r="94" spans="1:9" x14ac:dyDescent="0.2">
      <c r="A94" s="16"/>
      <c r="B94" s="17"/>
      <c r="C94" s="22"/>
      <c r="D94" s="38"/>
      <c r="E94" s="16"/>
      <c r="F94" s="16"/>
      <c r="G94" s="16"/>
      <c r="H94" s="16"/>
      <c r="I94" s="38"/>
    </row>
    <row r="95" spans="1:9" x14ac:dyDescent="0.2">
      <c r="A95" s="16"/>
      <c r="B95" s="17"/>
      <c r="C95" s="22"/>
      <c r="D95" s="38"/>
      <c r="E95" s="16"/>
      <c r="F95" s="16"/>
      <c r="G95" s="16"/>
      <c r="H95" s="16"/>
      <c r="I95" s="38"/>
    </row>
    <row r="96" spans="1:9" x14ac:dyDescent="0.2">
      <c r="A96" s="16"/>
      <c r="B96" s="17"/>
      <c r="C96" s="22"/>
      <c r="D96" s="38"/>
      <c r="E96" s="16"/>
      <c r="F96" s="16"/>
      <c r="G96" s="16"/>
      <c r="H96" s="16"/>
      <c r="I96" s="38"/>
    </row>
    <row r="97" spans="1:9" x14ac:dyDescent="0.2">
      <c r="A97" s="16"/>
      <c r="B97" s="17"/>
      <c r="C97" s="22"/>
      <c r="D97" s="38"/>
      <c r="E97" s="16"/>
      <c r="F97" s="16"/>
      <c r="G97" s="16"/>
      <c r="H97" s="16"/>
      <c r="I97" s="38"/>
    </row>
    <row r="98" spans="1:9" x14ac:dyDescent="0.2">
      <c r="A98" s="16"/>
      <c r="B98" s="17"/>
      <c r="C98" s="22"/>
      <c r="D98" s="38"/>
      <c r="E98" s="16"/>
      <c r="F98" s="16"/>
      <c r="G98" s="16"/>
      <c r="H98" s="16"/>
      <c r="I98" s="38"/>
    </row>
    <row r="99" spans="1:9" x14ac:dyDescent="0.2">
      <c r="A99" s="16"/>
      <c r="B99" s="17"/>
      <c r="C99" s="22"/>
      <c r="D99" s="38"/>
      <c r="E99" s="16"/>
      <c r="F99" s="16"/>
      <c r="G99" s="16"/>
      <c r="H99" s="16"/>
      <c r="I99" s="38"/>
    </row>
    <row r="100" spans="1:9" x14ac:dyDescent="0.2">
      <c r="A100" s="16"/>
      <c r="B100" s="17"/>
      <c r="C100" s="22"/>
      <c r="D100" s="38"/>
      <c r="E100" s="16"/>
      <c r="F100" s="16"/>
      <c r="G100" s="16"/>
      <c r="H100" s="16"/>
      <c r="I100" s="38"/>
    </row>
    <row r="101" spans="1:9" x14ac:dyDescent="0.2">
      <c r="A101" s="16"/>
      <c r="B101" s="17"/>
      <c r="C101" s="22"/>
      <c r="D101" s="38"/>
      <c r="E101" s="16"/>
      <c r="F101" s="16"/>
      <c r="G101" s="16"/>
      <c r="H101" s="16"/>
      <c r="I101" s="38"/>
    </row>
    <row r="102" spans="1:9" x14ac:dyDescent="0.2">
      <c r="A102" s="16"/>
      <c r="B102" s="17"/>
      <c r="C102" s="22"/>
      <c r="D102" s="38"/>
      <c r="E102" s="16"/>
      <c r="F102" s="16"/>
      <c r="G102" s="16"/>
      <c r="H102" s="16"/>
      <c r="I102" s="38"/>
    </row>
    <row r="103" spans="1:9" x14ac:dyDescent="0.2">
      <c r="A103" s="16"/>
      <c r="B103" s="17"/>
      <c r="C103" s="22"/>
      <c r="D103" s="38"/>
      <c r="E103" s="16"/>
      <c r="F103" s="16"/>
      <c r="G103" s="16"/>
      <c r="H103" s="16"/>
      <c r="I103" s="38"/>
    </row>
    <row r="104" spans="1:9" x14ac:dyDescent="0.2">
      <c r="A104" s="16"/>
      <c r="B104" s="17"/>
      <c r="C104" s="22"/>
      <c r="D104" s="38"/>
      <c r="E104" s="16"/>
      <c r="F104" s="16"/>
      <c r="G104" s="16"/>
      <c r="H104" s="16"/>
      <c r="I104" s="38"/>
    </row>
    <row r="105" spans="1:9" x14ac:dyDescent="0.2">
      <c r="A105" s="16"/>
      <c r="B105" s="17"/>
      <c r="C105" s="22"/>
      <c r="D105" s="38"/>
      <c r="E105" s="16"/>
      <c r="F105" s="16"/>
      <c r="G105" s="16"/>
      <c r="H105" s="16"/>
      <c r="I105" s="38"/>
    </row>
    <row r="106" spans="1:9" x14ac:dyDescent="0.2">
      <c r="A106" s="16"/>
      <c r="B106" s="17"/>
      <c r="C106" s="22"/>
      <c r="D106" s="38"/>
      <c r="E106" s="16"/>
      <c r="F106" s="16"/>
      <c r="G106" s="16"/>
      <c r="H106" s="16"/>
      <c r="I106" s="38"/>
    </row>
    <row r="107" spans="1:9" x14ac:dyDescent="0.2">
      <c r="A107" s="16"/>
      <c r="B107" s="17"/>
      <c r="C107" s="22"/>
      <c r="D107" s="38"/>
      <c r="E107" s="16"/>
      <c r="F107" s="16"/>
      <c r="G107" s="16"/>
      <c r="H107" s="16"/>
      <c r="I107" s="38"/>
    </row>
    <row r="108" spans="1:9" x14ac:dyDescent="0.2">
      <c r="A108" s="16"/>
      <c r="B108" s="17"/>
      <c r="C108" s="22"/>
      <c r="D108" s="38"/>
      <c r="E108" s="16"/>
      <c r="F108" s="16"/>
      <c r="G108" s="16"/>
      <c r="H108" s="16"/>
      <c r="I108" s="38"/>
    </row>
    <row r="109" spans="1:9" x14ac:dyDescent="0.2">
      <c r="A109" s="16"/>
      <c r="B109" s="17"/>
      <c r="C109" s="22"/>
      <c r="D109" s="38"/>
      <c r="E109" s="16"/>
      <c r="F109" s="16"/>
      <c r="G109" s="16"/>
      <c r="H109" s="16"/>
      <c r="I109" s="38"/>
    </row>
    <row r="110" spans="1:9" x14ac:dyDescent="0.2">
      <c r="A110" s="16"/>
      <c r="B110" s="17"/>
      <c r="C110" s="22"/>
      <c r="D110" s="38"/>
      <c r="E110" s="16"/>
      <c r="F110" s="16"/>
      <c r="G110" s="16"/>
      <c r="H110" s="16"/>
      <c r="I110" s="38"/>
    </row>
    <row r="111" spans="1:9" x14ac:dyDescent="0.2">
      <c r="A111" s="16"/>
      <c r="B111" s="17"/>
      <c r="C111" s="22"/>
      <c r="D111" s="38"/>
      <c r="E111" s="16"/>
      <c r="F111" s="16"/>
      <c r="G111" s="16"/>
      <c r="H111" s="16"/>
      <c r="I111" s="38"/>
    </row>
    <row r="112" spans="1:9" x14ac:dyDescent="0.2">
      <c r="A112" s="16"/>
      <c r="B112" s="17"/>
      <c r="C112" s="22"/>
      <c r="D112" s="38"/>
      <c r="E112" s="16"/>
      <c r="F112" s="16"/>
      <c r="G112" s="16"/>
      <c r="H112" s="16"/>
      <c r="I112" s="38"/>
    </row>
    <row r="113" spans="1:9" x14ac:dyDescent="0.2">
      <c r="A113" s="16"/>
      <c r="B113" s="17"/>
      <c r="C113" s="22"/>
      <c r="D113" s="38"/>
      <c r="E113" s="16"/>
      <c r="F113" s="16"/>
      <c r="G113" s="16"/>
      <c r="H113" s="16"/>
      <c r="I113" s="38"/>
    </row>
    <row r="114" spans="1:9" x14ac:dyDescent="0.2">
      <c r="A114" s="16"/>
      <c r="B114" s="17"/>
      <c r="C114" s="22"/>
      <c r="D114" s="38"/>
      <c r="E114" s="16"/>
      <c r="F114" s="16"/>
      <c r="G114" s="16"/>
      <c r="H114" s="16"/>
      <c r="I114" s="38"/>
    </row>
    <row r="115" spans="1:9" x14ac:dyDescent="0.2">
      <c r="A115" s="16"/>
      <c r="B115" s="17"/>
      <c r="C115" s="22"/>
      <c r="D115" s="38"/>
      <c r="E115" s="16"/>
      <c r="F115" s="16"/>
      <c r="G115" s="16"/>
      <c r="H115" s="16"/>
      <c r="I115" s="38"/>
    </row>
    <row r="116" spans="1:9" x14ac:dyDescent="0.2">
      <c r="A116" s="16"/>
      <c r="B116" s="17"/>
      <c r="C116" s="22"/>
      <c r="D116" s="38"/>
      <c r="E116" s="16"/>
      <c r="F116" s="16"/>
      <c r="G116" s="16"/>
      <c r="H116" s="16"/>
      <c r="I116" s="38"/>
    </row>
    <row r="117" spans="1:9" x14ac:dyDescent="0.2">
      <c r="A117" s="16"/>
      <c r="B117" s="17"/>
      <c r="C117" s="22"/>
      <c r="D117" s="38"/>
      <c r="E117" s="16"/>
      <c r="F117" s="16"/>
      <c r="G117" s="16"/>
      <c r="H117" s="16"/>
      <c r="I117" s="38"/>
    </row>
    <row r="118" spans="1:9" x14ac:dyDescent="0.2">
      <c r="A118" s="16"/>
      <c r="B118" s="17"/>
      <c r="C118" s="22"/>
      <c r="D118" s="38"/>
      <c r="E118" s="16"/>
      <c r="F118" s="16"/>
      <c r="G118" s="16"/>
      <c r="H118" s="16"/>
      <c r="I118" s="38"/>
    </row>
    <row r="119" spans="1:9" x14ac:dyDescent="0.2">
      <c r="A119" s="16"/>
      <c r="B119" s="17"/>
      <c r="C119" s="22"/>
      <c r="D119" s="38"/>
      <c r="E119" s="16"/>
      <c r="F119" s="16"/>
      <c r="G119" s="16"/>
      <c r="H119" s="16"/>
      <c r="I119" s="38"/>
    </row>
    <row r="120" spans="1:9" x14ac:dyDescent="0.2">
      <c r="A120" s="16"/>
      <c r="B120" s="17"/>
      <c r="C120" s="22"/>
      <c r="D120" s="38"/>
      <c r="E120" s="16"/>
      <c r="F120" s="16"/>
      <c r="G120" s="16"/>
      <c r="H120" s="16"/>
      <c r="I120" s="38"/>
    </row>
    <row r="121" spans="1:9" x14ac:dyDescent="0.2">
      <c r="A121" s="16"/>
      <c r="B121" s="17"/>
      <c r="C121" s="22"/>
      <c r="D121" s="38"/>
      <c r="E121" s="16"/>
      <c r="F121" s="16"/>
      <c r="G121" s="16"/>
      <c r="H121" s="16"/>
      <c r="I121" s="38"/>
    </row>
    <row r="122" spans="1:9" x14ac:dyDescent="0.2">
      <c r="A122" s="16"/>
      <c r="B122" s="17"/>
      <c r="C122" s="22"/>
      <c r="D122" s="38"/>
      <c r="E122" s="16"/>
      <c r="F122" s="16"/>
      <c r="G122" s="16"/>
      <c r="H122" s="16"/>
      <c r="I122" s="38"/>
    </row>
    <row r="123" spans="1:9" x14ac:dyDescent="0.2">
      <c r="A123" s="16"/>
      <c r="B123" s="17"/>
      <c r="C123" s="22"/>
      <c r="D123" s="38"/>
      <c r="E123" s="16"/>
      <c r="F123" s="16"/>
      <c r="G123" s="16"/>
      <c r="H123" s="16"/>
      <c r="I123" s="38"/>
    </row>
    <row r="124" spans="1:9" x14ac:dyDescent="0.2">
      <c r="A124" s="16"/>
      <c r="B124" s="17"/>
      <c r="C124" s="22"/>
      <c r="D124" s="38"/>
      <c r="E124" s="16"/>
      <c r="F124" s="16"/>
      <c r="G124" s="16"/>
      <c r="H124" s="16"/>
      <c r="I124" s="38"/>
    </row>
  </sheetData>
  <mergeCells count="13">
    <mergeCell ref="K7:R7"/>
    <mergeCell ref="K8:R8"/>
    <mergeCell ref="B1:I1"/>
    <mergeCell ref="B2:I2"/>
    <mergeCell ref="B3:I3"/>
    <mergeCell ref="B4:I4"/>
    <mergeCell ref="B5:I5"/>
    <mergeCell ref="B6:I6"/>
    <mergeCell ref="A7:A8"/>
    <mergeCell ref="B7:B8"/>
    <mergeCell ref="C7:C8"/>
    <mergeCell ref="D7:H7"/>
    <mergeCell ref="I7:I8"/>
  </mergeCells>
  <pageMargins left="0.45" right="0.45" top="0.75" bottom="0.5" header="0.3" footer="0.3"/>
  <pageSetup scale="85" orientation="portrait" r:id="rId1"/>
  <headerFooter>
    <oddFooter>&amp;CPage no  &amp;P  MB-  1004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6"/>
  <sheetViews>
    <sheetView view="pageBreakPreview" topLeftCell="A4" zoomScaleSheetLayoutView="100" zoomScalePageLayoutView="60" workbookViewId="0">
      <selection activeCell="C19" sqref="C19"/>
    </sheetView>
  </sheetViews>
  <sheetFormatPr defaultColWidth="8.85546875" defaultRowHeight="15" x14ac:dyDescent="0.25"/>
  <cols>
    <col min="1" max="1" width="10.7109375" style="2" customWidth="1"/>
    <col min="2" max="2" width="5.28515625" style="2" customWidth="1"/>
    <col min="3" max="3" width="40.7109375" style="95" customWidth="1"/>
    <col min="4" max="4" width="5.85546875" style="6" customWidth="1"/>
    <col min="5" max="5" width="5.7109375" style="87" customWidth="1"/>
    <col min="6" max="6" width="9.7109375" style="87" customWidth="1"/>
    <col min="7" max="7" width="7.85546875" style="2" customWidth="1"/>
    <col min="8" max="8" width="10.5703125" style="2" bestFit="1" customWidth="1"/>
    <col min="9" max="9" width="10.140625" style="2" customWidth="1"/>
    <col min="10" max="10" width="7.28515625" style="2" bestFit="1" customWidth="1"/>
    <col min="11" max="11" width="11.85546875" style="2" bestFit="1" customWidth="1"/>
    <col min="12" max="12" width="10.5703125" style="2" customWidth="1"/>
    <col min="13" max="13" width="7.5703125" style="2" bestFit="1" customWidth="1"/>
    <col min="14" max="14" width="9.28515625" style="2" bestFit="1" customWidth="1"/>
    <col min="15" max="15" width="10.5703125" style="2" bestFit="1" customWidth="1"/>
    <col min="16" max="16" width="6" style="2" customWidth="1"/>
    <col min="17" max="16384" width="8.85546875" style="2"/>
  </cols>
  <sheetData>
    <row r="1" spans="1:16" ht="22.15" customHeight="1" x14ac:dyDescent="0.25">
      <c r="A1" s="189" t="s">
        <v>9</v>
      </c>
      <c r="B1" s="190"/>
      <c r="C1" s="193" t="s">
        <v>23</v>
      </c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5"/>
    </row>
    <row r="2" spans="1:16" ht="17.45" customHeight="1" x14ac:dyDescent="0.25">
      <c r="A2" s="189" t="s">
        <v>32</v>
      </c>
      <c r="B2" s="190"/>
      <c r="C2" s="196" t="s">
        <v>26</v>
      </c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8"/>
    </row>
    <row r="3" spans="1:16" ht="30" customHeight="1" x14ac:dyDescent="0.25">
      <c r="A3" s="189" t="s">
        <v>10</v>
      </c>
      <c r="B3" s="190"/>
      <c r="C3" s="191" t="s">
        <v>27</v>
      </c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2"/>
    </row>
    <row r="4" spans="1:16" ht="15" customHeight="1" x14ac:dyDescent="0.25">
      <c r="A4" s="189" t="s">
        <v>11</v>
      </c>
      <c r="B4" s="190"/>
      <c r="C4" s="196" t="s">
        <v>28</v>
      </c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8"/>
    </row>
    <row r="5" spans="1:16" ht="16.899999999999999" customHeight="1" x14ac:dyDescent="0.25">
      <c r="A5" s="189" t="s">
        <v>35</v>
      </c>
      <c r="B5" s="190"/>
      <c r="C5" s="196" t="s">
        <v>29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8"/>
    </row>
    <row r="6" spans="1:16" ht="16.149999999999999" customHeight="1" x14ac:dyDescent="0.25">
      <c r="A6" s="191" t="s">
        <v>13</v>
      </c>
      <c r="B6" s="192"/>
      <c r="C6" s="200" t="s">
        <v>104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2"/>
    </row>
    <row r="7" spans="1:16" ht="24" customHeight="1" x14ac:dyDescent="0.25">
      <c r="A7" s="227" t="s">
        <v>3</v>
      </c>
      <c r="B7" s="227" t="s">
        <v>14</v>
      </c>
      <c r="C7" s="228" t="s">
        <v>4</v>
      </c>
      <c r="D7" s="229" t="s">
        <v>5</v>
      </c>
      <c r="E7" s="229" t="s">
        <v>6</v>
      </c>
      <c r="F7" s="229" t="s">
        <v>7</v>
      </c>
      <c r="G7" s="166">
        <v>8</v>
      </c>
      <c r="H7" s="166">
        <v>10</v>
      </c>
      <c r="I7" s="166">
        <v>12</v>
      </c>
      <c r="J7" s="166">
        <v>16</v>
      </c>
      <c r="K7" s="166">
        <v>20</v>
      </c>
      <c r="L7" s="166">
        <v>25</v>
      </c>
      <c r="M7" s="166">
        <v>28</v>
      </c>
      <c r="N7" s="166">
        <v>32</v>
      </c>
      <c r="O7" s="166">
        <v>36</v>
      </c>
      <c r="P7" s="229" t="s">
        <v>8</v>
      </c>
    </row>
    <row r="8" spans="1:16" ht="20.100000000000001" customHeight="1" x14ac:dyDescent="0.25">
      <c r="A8" s="156" t="s">
        <v>68</v>
      </c>
      <c r="B8" s="160" t="s">
        <v>97</v>
      </c>
      <c r="C8" s="158" t="s">
        <v>69</v>
      </c>
      <c r="D8" s="159"/>
      <c r="E8" s="160"/>
      <c r="F8" s="161"/>
      <c r="G8" s="162"/>
      <c r="H8" s="162"/>
      <c r="I8" s="162"/>
      <c r="J8" s="162"/>
      <c r="K8" s="162"/>
      <c r="L8" s="162"/>
      <c r="M8" s="162"/>
      <c r="N8" s="162"/>
      <c r="O8" s="162"/>
      <c r="P8" s="64"/>
    </row>
    <row r="9" spans="1:16" ht="20.100000000000001" customHeight="1" x14ac:dyDescent="0.25">
      <c r="A9" s="163"/>
      <c r="B9" s="160"/>
      <c r="C9" s="50" t="s">
        <v>70</v>
      </c>
      <c r="D9" s="52">
        <v>20</v>
      </c>
      <c r="E9" s="50">
        <f>54+53</f>
        <v>107</v>
      </c>
      <c r="F9" s="99">
        <f>(16.3-0.15-0.08-0.04)+((1.5-0.15)*2)</f>
        <v>18.730000000000004</v>
      </c>
      <c r="G9" s="162" t="str">
        <f>IF(D9 = 8,E9*F9," -")</f>
        <v xml:space="preserve"> -</v>
      </c>
      <c r="H9" s="162" t="str">
        <f t="shared" ref="H9:H24" si="0">IF(D9 = 10,E9*F9," -")</f>
        <v xml:space="preserve"> -</v>
      </c>
      <c r="I9" s="162" t="str">
        <f t="shared" ref="I9:I24" si="1">IF(D9=12,E9*F9,"-")</f>
        <v>-</v>
      </c>
      <c r="J9" s="162" t="str">
        <f t="shared" ref="J9:J24" si="2">IF(D9=16,E9*F9,"-")</f>
        <v>-</v>
      </c>
      <c r="K9" s="162">
        <f t="shared" ref="K9:K24" si="3">IF(D9=20,E9*F9,"-")</f>
        <v>2004.1100000000004</v>
      </c>
      <c r="L9" s="162" t="str">
        <f t="shared" ref="L9:L24" si="4">IF(D9=25,E9*F9,"-")</f>
        <v>-</v>
      </c>
      <c r="M9" s="162" t="str">
        <f t="shared" ref="M9:M24" si="5">IF(D9=28,E9*F9,"-")</f>
        <v>-</v>
      </c>
      <c r="N9" s="162" t="str">
        <f t="shared" ref="N9:N24" si="6">IF(D9=32,E9*F9,"-")</f>
        <v>-</v>
      </c>
      <c r="O9" s="162" t="str">
        <f>IF(D9=36,E9*F9,"-")</f>
        <v>-</v>
      </c>
      <c r="P9" s="64"/>
    </row>
    <row r="10" spans="1:16" ht="20.100000000000001" customHeight="1" x14ac:dyDescent="0.25">
      <c r="A10" s="163"/>
      <c r="B10" s="160"/>
      <c r="C10" s="50" t="s">
        <v>71</v>
      </c>
      <c r="D10" s="52">
        <v>20</v>
      </c>
      <c r="E10" s="50">
        <f>54+53</f>
        <v>107</v>
      </c>
      <c r="F10" s="99">
        <v>0.94</v>
      </c>
      <c r="G10" s="162" t="str">
        <f t="shared" ref="G10:G24" si="7">IF(D10 = 8,E10*F10," -")</f>
        <v xml:space="preserve"> -</v>
      </c>
      <c r="H10" s="162" t="str">
        <f t="shared" si="0"/>
        <v xml:space="preserve"> -</v>
      </c>
      <c r="I10" s="162" t="str">
        <f t="shared" si="1"/>
        <v>-</v>
      </c>
      <c r="J10" s="162" t="str">
        <f t="shared" si="2"/>
        <v>-</v>
      </c>
      <c r="K10" s="162">
        <f t="shared" si="3"/>
        <v>100.58</v>
      </c>
      <c r="L10" s="162" t="str">
        <f t="shared" si="4"/>
        <v>-</v>
      </c>
      <c r="M10" s="162" t="str">
        <f t="shared" si="5"/>
        <v>-</v>
      </c>
      <c r="N10" s="162" t="str">
        <f t="shared" si="6"/>
        <v>-</v>
      </c>
      <c r="O10" s="162" t="str">
        <f>IF(D10=36,E10*F10,"-")</f>
        <v>-</v>
      </c>
      <c r="P10" s="64"/>
    </row>
    <row r="11" spans="1:16" ht="20.100000000000001" customHeight="1" x14ac:dyDescent="0.25">
      <c r="A11" s="163"/>
      <c r="B11" s="160"/>
      <c r="C11" s="50" t="s">
        <v>72</v>
      </c>
      <c r="D11" s="52">
        <v>20</v>
      </c>
      <c r="E11" s="50">
        <v>109</v>
      </c>
      <c r="F11" s="99">
        <f>(16.075-0.15-0.08-0.04)+((1.5-0.15-0.04)*2)</f>
        <v>18.425000000000001</v>
      </c>
      <c r="G11" s="162" t="str">
        <f t="shared" si="7"/>
        <v xml:space="preserve"> -</v>
      </c>
      <c r="H11" s="162" t="str">
        <f t="shared" si="0"/>
        <v xml:space="preserve"> -</v>
      </c>
      <c r="I11" s="162" t="str">
        <f t="shared" si="1"/>
        <v>-</v>
      </c>
      <c r="J11" s="162" t="str">
        <f t="shared" si="2"/>
        <v>-</v>
      </c>
      <c r="K11" s="162">
        <f t="shared" si="3"/>
        <v>2008.325</v>
      </c>
      <c r="L11" s="162" t="str">
        <f t="shared" si="4"/>
        <v>-</v>
      </c>
      <c r="M11" s="162" t="str">
        <f t="shared" si="5"/>
        <v>-</v>
      </c>
      <c r="N11" s="162" t="str">
        <f t="shared" si="6"/>
        <v>-</v>
      </c>
      <c r="O11" s="162" t="str">
        <f t="shared" ref="O11:O24" si="8">IF(D11=36,E11*F11,"-")</f>
        <v>-</v>
      </c>
      <c r="P11" s="64"/>
    </row>
    <row r="12" spans="1:16" ht="20.100000000000001" customHeight="1" x14ac:dyDescent="0.25">
      <c r="A12" s="163"/>
      <c r="B12" s="160"/>
      <c r="C12" s="50" t="s">
        <v>73</v>
      </c>
      <c r="D12" s="52">
        <v>20</v>
      </c>
      <c r="E12" s="50">
        <v>109</v>
      </c>
      <c r="F12" s="99">
        <v>0.94</v>
      </c>
      <c r="G12" s="162" t="str">
        <f t="shared" si="7"/>
        <v xml:space="preserve"> -</v>
      </c>
      <c r="H12" s="162" t="str">
        <f t="shared" si="0"/>
        <v xml:space="preserve"> -</v>
      </c>
      <c r="I12" s="162" t="str">
        <f t="shared" si="1"/>
        <v>-</v>
      </c>
      <c r="J12" s="162" t="str">
        <f t="shared" si="2"/>
        <v>-</v>
      </c>
      <c r="K12" s="162">
        <f t="shared" si="3"/>
        <v>102.46</v>
      </c>
      <c r="L12" s="162" t="str">
        <f t="shared" si="4"/>
        <v>-</v>
      </c>
      <c r="M12" s="162" t="str">
        <f t="shared" si="5"/>
        <v>-</v>
      </c>
      <c r="N12" s="162" t="str">
        <f t="shared" si="6"/>
        <v>-</v>
      </c>
      <c r="O12" s="162" t="str">
        <f t="shared" si="8"/>
        <v>-</v>
      </c>
      <c r="P12" s="64"/>
    </row>
    <row r="13" spans="1:16" ht="20.100000000000001" customHeight="1" x14ac:dyDescent="0.25">
      <c r="A13" s="163"/>
      <c r="B13" s="160"/>
      <c r="C13" s="50" t="s">
        <v>74</v>
      </c>
      <c r="D13" s="52">
        <v>20</v>
      </c>
      <c r="E13" s="50">
        <v>109</v>
      </c>
      <c r="F13" s="99">
        <f>(16.075-0.15-0.08-0.04)+((1.5-0.15-0.04)*2)</f>
        <v>18.425000000000001</v>
      </c>
      <c r="G13" s="162" t="str">
        <f t="shared" si="7"/>
        <v xml:space="preserve"> -</v>
      </c>
      <c r="H13" s="162" t="str">
        <f t="shared" si="0"/>
        <v xml:space="preserve"> -</v>
      </c>
      <c r="I13" s="162" t="str">
        <f t="shared" si="1"/>
        <v>-</v>
      </c>
      <c r="J13" s="162" t="str">
        <f t="shared" si="2"/>
        <v>-</v>
      </c>
      <c r="K13" s="162">
        <f t="shared" si="3"/>
        <v>2008.325</v>
      </c>
      <c r="L13" s="162" t="str">
        <f t="shared" si="4"/>
        <v>-</v>
      </c>
      <c r="M13" s="162" t="str">
        <f t="shared" si="5"/>
        <v>-</v>
      </c>
      <c r="N13" s="162" t="str">
        <f t="shared" si="6"/>
        <v>-</v>
      </c>
      <c r="O13" s="162" t="str">
        <f t="shared" si="8"/>
        <v>-</v>
      </c>
      <c r="P13" s="64"/>
    </row>
    <row r="14" spans="1:16" ht="20.100000000000001" customHeight="1" x14ac:dyDescent="0.25">
      <c r="A14" s="163"/>
      <c r="B14" s="160"/>
      <c r="C14" s="50" t="s">
        <v>75</v>
      </c>
      <c r="D14" s="52">
        <v>20</v>
      </c>
      <c r="E14" s="50">
        <v>109</v>
      </c>
      <c r="F14" s="99">
        <v>0.94</v>
      </c>
      <c r="G14" s="162" t="str">
        <f t="shared" si="7"/>
        <v xml:space="preserve"> -</v>
      </c>
      <c r="H14" s="162" t="str">
        <f t="shared" si="0"/>
        <v xml:space="preserve"> -</v>
      </c>
      <c r="I14" s="162" t="str">
        <f t="shared" si="1"/>
        <v>-</v>
      </c>
      <c r="J14" s="162" t="str">
        <f t="shared" si="2"/>
        <v>-</v>
      </c>
      <c r="K14" s="162">
        <f t="shared" si="3"/>
        <v>102.46</v>
      </c>
      <c r="L14" s="162" t="str">
        <f t="shared" si="4"/>
        <v>-</v>
      </c>
      <c r="M14" s="162" t="str">
        <f t="shared" si="5"/>
        <v>-</v>
      </c>
      <c r="N14" s="162" t="str">
        <f t="shared" si="6"/>
        <v>-</v>
      </c>
      <c r="O14" s="162" t="str">
        <f t="shared" si="8"/>
        <v>-</v>
      </c>
      <c r="P14" s="64"/>
    </row>
    <row r="15" spans="1:16" x14ac:dyDescent="0.25">
      <c r="A15" s="163"/>
      <c r="B15" s="160"/>
      <c r="C15" s="50" t="s">
        <v>76</v>
      </c>
      <c r="D15" s="52">
        <v>20</v>
      </c>
      <c r="E15" s="50">
        <f>54+53</f>
        <v>107</v>
      </c>
      <c r="F15" s="99">
        <f>(16.3-0.15-0.08-0.04)+((1.5-0.15)*2)</f>
        <v>18.730000000000004</v>
      </c>
      <c r="G15" s="162" t="str">
        <f t="shared" si="7"/>
        <v xml:space="preserve"> -</v>
      </c>
      <c r="H15" s="162" t="str">
        <f t="shared" si="0"/>
        <v xml:space="preserve"> -</v>
      </c>
      <c r="I15" s="162" t="str">
        <f t="shared" si="1"/>
        <v>-</v>
      </c>
      <c r="J15" s="162" t="str">
        <f t="shared" si="2"/>
        <v>-</v>
      </c>
      <c r="K15" s="162">
        <f t="shared" si="3"/>
        <v>2004.1100000000004</v>
      </c>
      <c r="L15" s="162" t="str">
        <f t="shared" si="4"/>
        <v>-</v>
      </c>
      <c r="M15" s="162" t="str">
        <f t="shared" si="5"/>
        <v>-</v>
      </c>
      <c r="N15" s="162" t="str">
        <f t="shared" si="6"/>
        <v>-</v>
      </c>
      <c r="O15" s="162" t="str">
        <f>IF(D15=36,E15*F15,"-")</f>
        <v>-</v>
      </c>
      <c r="P15" s="64"/>
    </row>
    <row r="16" spans="1:16" ht="20.100000000000001" customHeight="1" x14ac:dyDescent="0.25">
      <c r="A16" s="163"/>
      <c r="B16" s="160"/>
      <c r="C16" s="50" t="s">
        <v>77</v>
      </c>
      <c r="D16" s="52">
        <v>20</v>
      </c>
      <c r="E16" s="50">
        <f>54+53</f>
        <v>107</v>
      </c>
      <c r="F16" s="99">
        <v>0.94</v>
      </c>
      <c r="G16" s="162" t="str">
        <f t="shared" si="7"/>
        <v xml:space="preserve"> -</v>
      </c>
      <c r="H16" s="162" t="str">
        <f t="shared" si="0"/>
        <v xml:space="preserve"> -</v>
      </c>
      <c r="I16" s="162" t="str">
        <f t="shared" si="1"/>
        <v>-</v>
      </c>
      <c r="J16" s="162" t="str">
        <f t="shared" si="2"/>
        <v>-</v>
      </c>
      <c r="K16" s="162">
        <f t="shared" si="3"/>
        <v>100.58</v>
      </c>
      <c r="L16" s="162" t="str">
        <f t="shared" si="4"/>
        <v>-</v>
      </c>
      <c r="M16" s="162" t="str">
        <f t="shared" si="5"/>
        <v>-</v>
      </c>
      <c r="N16" s="162" t="str">
        <f t="shared" si="6"/>
        <v>-</v>
      </c>
      <c r="O16" s="162" t="str">
        <f>IF(D16=36,E16*F16,"-")</f>
        <v>-</v>
      </c>
      <c r="P16" s="64"/>
    </row>
    <row r="17" spans="1:16" ht="29.45" customHeight="1" x14ac:dyDescent="0.25">
      <c r="A17" s="163"/>
      <c r="B17" s="160"/>
      <c r="C17" s="50" t="s">
        <v>78</v>
      </c>
      <c r="D17" s="103">
        <v>20</v>
      </c>
      <c r="E17" s="104">
        <v>6</v>
      </c>
      <c r="F17" s="51">
        <f>+(((16.3-0.15)*2)-0.16)+((16.075-0.15)*2)</f>
        <v>63.990000000000009</v>
      </c>
      <c r="G17" s="162" t="str">
        <f t="shared" si="7"/>
        <v xml:space="preserve"> -</v>
      </c>
      <c r="H17" s="162" t="str">
        <f t="shared" si="0"/>
        <v xml:space="preserve"> -</v>
      </c>
      <c r="I17" s="162" t="str">
        <f t="shared" si="1"/>
        <v>-</v>
      </c>
      <c r="J17" s="162" t="str">
        <f t="shared" si="2"/>
        <v>-</v>
      </c>
      <c r="K17" s="162">
        <f t="shared" si="3"/>
        <v>383.94000000000005</v>
      </c>
      <c r="L17" s="162" t="str">
        <f t="shared" si="4"/>
        <v>-</v>
      </c>
      <c r="M17" s="162" t="str">
        <f t="shared" si="5"/>
        <v>-</v>
      </c>
      <c r="N17" s="162" t="str">
        <f t="shared" si="6"/>
        <v>-</v>
      </c>
      <c r="O17" s="162" t="str">
        <f t="shared" si="8"/>
        <v>-</v>
      </c>
      <c r="P17" s="64"/>
    </row>
    <row r="18" spans="1:16" ht="20.100000000000001" customHeight="1" x14ac:dyDescent="0.25">
      <c r="A18" s="163"/>
      <c r="B18" s="160"/>
      <c r="C18" s="106" t="s">
        <v>79</v>
      </c>
      <c r="D18" s="52">
        <v>20</v>
      </c>
      <c r="E18" s="50">
        <v>36</v>
      </c>
      <c r="F18" s="51">
        <v>0.94</v>
      </c>
      <c r="G18" s="162" t="str">
        <f t="shared" si="7"/>
        <v xml:space="preserve"> -</v>
      </c>
      <c r="H18" s="162" t="str">
        <f t="shared" si="0"/>
        <v xml:space="preserve"> -</v>
      </c>
      <c r="I18" s="162" t="str">
        <f t="shared" si="1"/>
        <v>-</v>
      </c>
      <c r="J18" s="162" t="str">
        <f t="shared" si="2"/>
        <v>-</v>
      </c>
      <c r="K18" s="162">
        <f t="shared" si="3"/>
        <v>33.839999999999996</v>
      </c>
      <c r="L18" s="162" t="str">
        <f t="shared" si="4"/>
        <v>-</v>
      </c>
      <c r="M18" s="162" t="str">
        <f t="shared" si="5"/>
        <v>-</v>
      </c>
      <c r="N18" s="162" t="str">
        <f t="shared" si="6"/>
        <v>-</v>
      </c>
      <c r="O18" s="162" t="str">
        <f t="shared" si="8"/>
        <v>-</v>
      </c>
      <c r="P18" s="64"/>
    </row>
    <row r="19" spans="1:16" ht="29.45" customHeight="1" x14ac:dyDescent="0.25">
      <c r="A19" s="163"/>
      <c r="B19" s="160" t="s">
        <v>98</v>
      </c>
      <c r="C19" s="107" t="s">
        <v>80</v>
      </c>
      <c r="D19" s="52"/>
      <c r="E19" s="50"/>
      <c r="F19" s="51"/>
      <c r="G19" s="162"/>
      <c r="H19" s="162"/>
      <c r="I19" s="162"/>
      <c r="J19" s="162"/>
      <c r="K19" s="162"/>
      <c r="L19" s="162"/>
      <c r="M19" s="162"/>
      <c r="N19" s="162"/>
      <c r="O19" s="162"/>
      <c r="P19" s="64"/>
    </row>
    <row r="20" spans="1:16" ht="20.100000000000001" customHeight="1" x14ac:dyDescent="0.25">
      <c r="A20" s="163"/>
      <c r="C20" s="108" t="s">
        <v>81</v>
      </c>
      <c r="D20" s="52">
        <v>36</v>
      </c>
      <c r="E20" s="100">
        <f>12*4</f>
        <v>48</v>
      </c>
      <c r="F20" s="109">
        <f>1.5-0.075-0.04-0.036-0.036+0.374</f>
        <v>1.6869999999999998</v>
      </c>
      <c r="G20" s="162" t="str">
        <f t="shared" si="7"/>
        <v xml:space="preserve"> -</v>
      </c>
      <c r="H20" s="162" t="str">
        <f t="shared" si="0"/>
        <v xml:space="preserve"> -</v>
      </c>
      <c r="I20" s="162" t="str">
        <f t="shared" si="1"/>
        <v>-</v>
      </c>
      <c r="J20" s="162" t="str">
        <f t="shared" si="2"/>
        <v>-</v>
      </c>
      <c r="K20" s="162" t="str">
        <f t="shared" si="3"/>
        <v>-</v>
      </c>
      <c r="L20" s="162" t="str">
        <f t="shared" si="4"/>
        <v>-</v>
      </c>
      <c r="M20" s="162" t="str">
        <f t="shared" si="5"/>
        <v>-</v>
      </c>
      <c r="N20" s="162" t="str">
        <f t="shared" si="6"/>
        <v>-</v>
      </c>
      <c r="O20" s="162">
        <f t="shared" si="8"/>
        <v>80.975999999999999</v>
      </c>
      <c r="P20" s="64"/>
    </row>
    <row r="21" spans="1:16" ht="20.100000000000001" customHeight="1" x14ac:dyDescent="0.25">
      <c r="A21" s="163"/>
      <c r="B21" s="160" t="s">
        <v>97</v>
      </c>
      <c r="C21" s="107" t="s">
        <v>80</v>
      </c>
      <c r="D21" s="52"/>
      <c r="E21" s="100"/>
      <c r="F21" s="109"/>
      <c r="G21" s="162"/>
      <c r="H21" s="162"/>
      <c r="I21" s="162"/>
      <c r="J21" s="162"/>
      <c r="K21" s="162"/>
      <c r="L21" s="162"/>
      <c r="M21" s="162"/>
      <c r="N21" s="162"/>
      <c r="O21" s="162"/>
      <c r="P21" s="64"/>
    </row>
    <row r="22" spans="1:16" ht="25.9" customHeight="1" x14ac:dyDescent="0.25">
      <c r="A22" s="163"/>
      <c r="B22" s="160"/>
      <c r="C22" s="108" t="s">
        <v>82</v>
      </c>
      <c r="D22" s="52">
        <v>10</v>
      </c>
      <c r="E22" s="50">
        <f>4*11</f>
        <v>44</v>
      </c>
      <c r="F22" s="51">
        <f>+((1-0.1-0.04)*2+((0.75-0.1)*2)+(0.1*2))</f>
        <v>3.22</v>
      </c>
      <c r="G22" s="162" t="str">
        <f t="shared" si="7"/>
        <v xml:space="preserve"> -</v>
      </c>
      <c r="H22" s="162">
        <f t="shared" si="0"/>
        <v>141.68</v>
      </c>
      <c r="I22" s="162" t="str">
        <f t="shared" si="1"/>
        <v>-</v>
      </c>
      <c r="J22" s="162" t="str">
        <f t="shared" si="2"/>
        <v>-</v>
      </c>
      <c r="K22" s="162" t="str">
        <f t="shared" si="3"/>
        <v>-</v>
      </c>
      <c r="L22" s="162" t="str">
        <f t="shared" si="4"/>
        <v>-</v>
      </c>
      <c r="M22" s="162" t="str">
        <f t="shared" si="5"/>
        <v>-</v>
      </c>
      <c r="N22" s="162" t="str">
        <f t="shared" si="6"/>
        <v>-</v>
      </c>
      <c r="O22" s="162" t="str">
        <f t="shared" si="8"/>
        <v>-</v>
      </c>
      <c r="P22" s="64"/>
    </row>
    <row r="23" spans="1:16" ht="20.100000000000001" customHeight="1" x14ac:dyDescent="0.25">
      <c r="A23" s="163"/>
      <c r="B23" s="160"/>
      <c r="C23" s="108" t="s">
        <v>83</v>
      </c>
      <c r="D23" s="52">
        <v>10</v>
      </c>
      <c r="E23" s="50">
        <f>4*10</f>
        <v>40</v>
      </c>
      <c r="F23" s="51">
        <f>+((1-0.1-0.04)*2+(0.272*2)+0.2)</f>
        <v>2.4640000000000004</v>
      </c>
      <c r="G23" s="162" t="str">
        <f t="shared" si="7"/>
        <v xml:space="preserve"> -</v>
      </c>
      <c r="H23" s="162">
        <f t="shared" si="0"/>
        <v>98.560000000000016</v>
      </c>
      <c r="I23" s="162" t="str">
        <f t="shared" si="1"/>
        <v>-</v>
      </c>
      <c r="J23" s="162" t="str">
        <f t="shared" si="2"/>
        <v>-</v>
      </c>
      <c r="K23" s="162" t="str">
        <f t="shared" si="3"/>
        <v>-</v>
      </c>
      <c r="L23" s="162" t="str">
        <f t="shared" si="4"/>
        <v>-</v>
      </c>
      <c r="M23" s="162" t="str">
        <f t="shared" si="5"/>
        <v>-</v>
      </c>
      <c r="N23" s="162" t="str">
        <f t="shared" si="6"/>
        <v>-</v>
      </c>
      <c r="O23" s="162" t="str">
        <f t="shared" si="8"/>
        <v>-</v>
      </c>
      <c r="P23" s="64"/>
    </row>
    <row r="24" spans="1:16" ht="25.9" customHeight="1" x14ac:dyDescent="0.25">
      <c r="A24" s="163"/>
      <c r="B24" s="160"/>
      <c r="C24" s="108" t="s">
        <v>83</v>
      </c>
      <c r="D24" s="52">
        <v>10</v>
      </c>
      <c r="E24" s="50">
        <f>4*10</f>
        <v>40</v>
      </c>
      <c r="F24" s="51">
        <f>+((0.75-0.1-0.04)*2+(0.356*2)+0.2)</f>
        <v>2.1320000000000001</v>
      </c>
      <c r="G24" s="162" t="str">
        <f t="shared" si="7"/>
        <v xml:space="preserve"> -</v>
      </c>
      <c r="H24" s="162">
        <f t="shared" si="0"/>
        <v>85.28</v>
      </c>
      <c r="I24" s="162" t="str">
        <f t="shared" si="1"/>
        <v>-</v>
      </c>
      <c r="J24" s="162" t="str">
        <f t="shared" si="2"/>
        <v>-</v>
      </c>
      <c r="K24" s="162" t="str">
        <f t="shared" si="3"/>
        <v>-</v>
      </c>
      <c r="L24" s="162" t="str">
        <f t="shared" si="4"/>
        <v>-</v>
      </c>
      <c r="M24" s="162" t="str">
        <f t="shared" si="5"/>
        <v>-</v>
      </c>
      <c r="N24" s="162" t="str">
        <f t="shared" si="6"/>
        <v>-</v>
      </c>
      <c r="O24" s="162" t="str">
        <f t="shared" si="8"/>
        <v>-</v>
      </c>
      <c r="P24" s="64"/>
    </row>
    <row r="25" spans="1:16" ht="20.100000000000001" customHeight="1" x14ac:dyDescent="0.25">
      <c r="A25" s="163"/>
      <c r="B25" s="160" t="s">
        <v>98</v>
      </c>
      <c r="C25" s="107" t="s">
        <v>84</v>
      </c>
      <c r="D25" s="52"/>
      <c r="E25" s="50"/>
      <c r="F25" s="51"/>
      <c r="G25" s="162"/>
      <c r="H25" s="162"/>
      <c r="I25" s="162"/>
      <c r="J25" s="162"/>
      <c r="K25" s="162"/>
      <c r="L25" s="162"/>
      <c r="M25" s="162"/>
      <c r="N25" s="162"/>
      <c r="O25" s="162"/>
      <c r="P25" s="64"/>
    </row>
    <row r="26" spans="1:16" ht="20.100000000000001" customHeight="1" x14ac:dyDescent="0.25">
      <c r="A26" s="163"/>
      <c r="C26" s="108" t="s">
        <v>81</v>
      </c>
      <c r="D26" s="52">
        <v>36</v>
      </c>
      <c r="E26" s="100">
        <f>28*2</f>
        <v>56</v>
      </c>
      <c r="F26" s="109">
        <f>1.5-0.075-0.04-0.036-0.036+0.374</f>
        <v>1.6869999999999998</v>
      </c>
      <c r="G26" s="162" t="str">
        <f t="shared" ref="G26:G32" si="9">IF(D26 = 8,E26*F26," -")</f>
        <v xml:space="preserve"> -</v>
      </c>
      <c r="H26" s="162" t="str">
        <f t="shared" ref="H26:H32" si="10">IF(D26 = 10,E26*F26," -")</f>
        <v xml:space="preserve"> -</v>
      </c>
      <c r="I26" s="162" t="str">
        <f t="shared" ref="I26:I32" si="11">IF(D26=12,E26*F26,"-")</f>
        <v>-</v>
      </c>
      <c r="J26" s="162" t="str">
        <f t="shared" ref="J26:J32" si="12">IF(D26=16,E26*F26,"-")</f>
        <v>-</v>
      </c>
      <c r="K26" s="162" t="str">
        <f t="shared" ref="K26:K32" si="13">IF(D26=20,E26*F26,"-")</f>
        <v>-</v>
      </c>
      <c r="L26" s="162" t="str">
        <f t="shared" ref="L26:L32" si="14">IF(D26=25,E26*F26,"-")</f>
        <v>-</v>
      </c>
      <c r="M26" s="162" t="str">
        <f t="shared" ref="M26:M32" si="15">IF(D26=28,E26*F26,"-")</f>
        <v>-</v>
      </c>
      <c r="N26" s="162" t="str">
        <f t="shared" ref="N26:N32" si="16">IF(D26=32,E26*F26,"-")</f>
        <v>-</v>
      </c>
      <c r="O26" s="162">
        <f t="shared" ref="O26:O32" si="17">IF(D26=36,E26*F26,"-")</f>
        <v>94.471999999999994</v>
      </c>
      <c r="P26" s="64"/>
    </row>
    <row r="27" spans="1:16" ht="20.100000000000001" customHeight="1" x14ac:dyDescent="0.25">
      <c r="A27" s="163"/>
      <c r="B27" s="160" t="s">
        <v>97</v>
      </c>
      <c r="C27" s="107" t="s">
        <v>84</v>
      </c>
      <c r="D27" s="52"/>
      <c r="E27" s="100"/>
      <c r="F27" s="109"/>
      <c r="G27" s="162"/>
      <c r="H27" s="162"/>
      <c r="I27" s="162"/>
      <c r="J27" s="162"/>
      <c r="K27" s="162"/>
      <c r="L27" s="162"/>
      <c r="M27" s="162"/>
      <c r="N27" s="162"/>
      <c r="O27" s="162"/>
      <c r="P27" s="64"/>
    </row>
    <row r="28" spans="1:16" ht="20.100000000000001" customHeight="1" x14ac:dyDescent="0.25">
      <c r="A28" s="163"/>
      <c r="C28" s="108" t="s">
        <v>85</v>
      </c>
      <c r="D28" s="52">
        <v>10</v>
      </c>
      <c r="E28" s="50">
        <f>13*2</f>
        <v>26</v>
      </c>
      <c r="F28" s="51">
        <f>+((1-0.1-0.04)*2+((0.75-0.1-0.035)*2)+(0.1*2))</f>
        <v>3.1500000000000004</v>
      </c>
      <c r="G28" s="162" t="str">
        <f t="shared" si="9"/>
        <v xml:space="preserve"> -</v>
      </c>
      <c r="H28" s="162">
        <f t="shared" si="10"/>
        <v>81.900000000000006</v>
      </c>
      <c r="I28" s="162" t="str">
        <f t="shared" si="11"/>
        <v>-</v>
      </c>
      <c r="J28" s="162" t="str">
        <f t="shared" si="12"/>
        <v>-</v>
      </c>
      <c r="K28" s="162" t="str">
        <f t="shared" si="13"/>
        <v>-</v>
      </c>
      <c r="L28" s="162" t="str">
        <f t="shared" si="14"/>
        <v>-</v>
      </c>
      <c r="M28" s="162" t="str">
        <f t="shared" si="15"/>
        <v>-</v>
      </c>
      <c r="N28" s="162" t="str">
        <f t="shared" si="16"/>
        <v>-</v>
      </c>
      <c r="O28" s="162" t="str">
        <f t="shared" si="17"/>
        <v>-</v>
      </c>
      <c r="P28" s="1"/>
    </row>
    <row r="29" spans="1:16" ht="20.100000000000001" customHeight="1" x14ac:dyDescent="0.25">
      <c r="A29" s="163"/>
      <c r="B29" s="160"/>
      <c r="C29" s="108" t="s">
        <v>86</v>
      </c>
      <c r="D29" s="52">
        <v>10</v>
      </c>
      <c r="E29" s="50">
        <f>2*12*2</f>
        <v>48</v>
      </c>
      <c r="F29" s="51">
        <f>+((1-0.1-0.04)*2+(0.164*2)+0.2)</f>
        <v>2.2480000000000002</v>
      </c>
      <c r="G29" s="162" t="str">
        <f t="shared" si="9"/>
        <v xml:space="preserve"> -</v>
      </c>
      <c r="H29" s="162">
        <f t="shared" si="10"/>
        <v>107.90400000000001</v>
      </c>
      <c r="I29" s="162" t="str">
        <f t="shared" si="11"/>
        <v>-</v>
      </c>
      <c r="J29" s="162" t="str">
        <f t="shared" si="12"/>
        <v>-</v>
      </c>
      <c r="K29" s="162" t="str">
        <f t="shared" si="13"/>
        <v>-</v>
      </c>
      <c r="L29" s="162" t="str">
        <f t="shared" si="14"/>
        <v>-</v>
      </c>
      <c r="M29" s="162" t="str">
        <f t="shared" si="15"/>
        <v>-</v>
      </c>
      <c r="N29" s="162" t="str">
        <f t="shared" si="16"/>
        <v>-</v>
      </c>
      <c r="O29" s="162" t="str">
        <f t="shared" si="17"/>
        <v>-</v>
      </c>
      <c r="P29" s="1"/>
    </row>
    <row r="30" spans="1:16" ht="20.100000000000001" customHeight="1" x14ac:dyDescent="0.25">
      <c r="A30" s="163"/>
      <c r="B30" s="160"/>
      <c r="C30" s="108" t="s">
        <v>87</v>
      </c>
      <c r="D30" s="52">
        <v>10</v>
      </c>
      <c r="E30" s="50">
        <v>12</v>
      </c>
      <c r="F30" s="51">
        <f>0.9+0.1+0.1</f>
        <v>1.1000000000000001</v>
      </c>
      <c r="G30" s="162" t="str">
        <f t="shared" si="9"/>
        <v xml:space="preserve"> -</v>
      </c>
      <c r="H30" s="162">
        <f t="shared" si="10"/>
        <v>13.200000000000001</v>
      </c>
      <c r="I30" s="162" t="str">
        <f t="shared" si="11"/>
        <v>-</v>
      </c>
      <c r="J30" s="162" t="str">
        <f t="shared" si="12"/>
        <v>-</v>
      </c>
      <c r="K30" s="162" t="str">
        <f t="shared" si="13"/>
        <v>-</v>
      </c>
      <c r="L30" s="162" t="str">
        <f t="shared" si="14"/>
        <v>-</v>
      </c>
      <c r="M30" s="162" t="str">
        <f t="shared" si="15"/>
        <v>-</v>
      </c>
      <c r="N30" s="162" t="str">
        <f t="shared" si="16"/>
        <v>-</v>
      </c>
      <c r="O30" s="162" t="str">
        <f t="shared" si="17"/>
        <v>-</v>
      </c>
      <c r="P30" s="1"/>
    </row>
    <row r="31" spans="1:16" ht="20.100000000000001" customHeight="1" x14ac:dyDescent="0.25">
      <c r="A31" s="163"/>
      <c r="B31" s="160"/>
      <c r="C31" s="108" t="s">
        <v>86</v>
      </c>
      <c r="D31" s="52">
        <v>10</v>
      </c>
      <c r="E31" s="50">
        <f>2*12*2</f>
        <v>48</v>
      </c>
      <c r="F31" s="51">
        <f>+((0.75-0.1-0.04-0.035)*2+(0.206*2)+0.2)</f>
        <v>1.7619999999999998</v>
      </c>
      <c r="G31" s="162" t="str">
        <f t="shared" si="9"/>
        <v xml:space="preserve"> -</v>
      </c>
      <c r="H31" s="162">
        <f t="shared" si="10"/>
        <v>84.575999999999993</v>
      </c>
      <c r="I31" s="162" t="str">
        <f t="shared" si="11"/>
        <v>-</v>
      </c>
      <c r="J31" s="162" t="str">
        <f t="shared" si="12"/>
        <v>-</v>
      </c>
      <c r="K31" s="162" t="str">
        <f t="shared" si="13"/>
        <v>-</v>
      </c>
      <c r="L31" s="162" t="str">
        <f t="shared" si="14"/>
        <v>-</v>
      </c>
      <c r="M31" s="162" t="str">
        <f t="shared" si="15"/>
        <v>-</v>
      </c>
      <c r="N31" s="162" t="str">
        <f t="shared" si="16"/>
        <v>-</v>
      </c>
      <c r="O31" s="162" t="str">
        <f t="shared" si="17"/>
        <v>-</v>
      </c>
      <c r="P31" s="1"/>
    </row>
    <row r="32" spans="1:16" ht="20.100000000000001" customHeight="1" x14ac:dyDescent="0.25">
      <c r="A32" s="163"/>
      <c r="B32" s="160"/>
      <c r="C32" s="108" t="s">
        <v>87</v>
      </c>
      <c r="D32" s="52">
        <v>10</v>
      </c>
      <c r="E32" s="50">
        <v>12</v>
      </c>
      <c r="F32" s="51">
        <f>0.65+0.1+0.1-0.035</f>
        <v>0.81499999999999995</v>
      </c>
      <c r="G32" s="162" t="str">
        <f t="shared" si="9"/>
        <v xml:space="preserve"> -</v>
      </c>
      <c r="H32" s="162">
        <f t="shared" si="10"/>
        <v>9.7799999999999994</v>
      </c>
      <c r="I32" s="162" t="str">
        <f t="shared" si="11"/>
        <v>-</v>
      </c>
      <c r="J32" s="162" t="str">
        <f t="shared" si="12"/>
        <v>-</v>
      </c>
      <c r="K32" s="162" t="str">
        <f t="shared" si="13"/>
        <v>-</v>
      </c>
      <c r="L32" s="162" t="str">
        <f t="shared" si="14"/>
        <v>-</v>
      </c>
      <c r="M32" s="162" t="str">
        <f t="shared" si="15"/>
        <v>-</v>
      </c>
      <c r="N32" s="162" t="str">
        <f t="shared" si="16"/>
        <v>-</v>
      </c>
      <c r="O32" s="162" t="str">
        <f t="shared" si="17"/>
        <v>-</v>
      </c>
      <c r="P32" s="1"/>
    </row>
    <row r="33" spans="1:16" ht="20.100000000000001" customHeight="1" x14ac:dyDescent="0.25">
      <c r="A33" s="163"/>
      <c r="B33" s="160" t="s">
        <v>98</v>
      </c>
      <c r="C33" s="107" t="s">
        <v>88</v>
      </c>
      <c r="D33" s="52"/>
      <c r="E33" s="50"/>
      <c r="F33" s="51"/>
      <c r="G33" s="162"/>
      <c r="H33" s="162"/>
      <c r="I33" s="162"/>
      <c r="J33" s="162"/>
      <c r="K33" s="162"/>
      <c r="L33" s="162"/>
      <c r="M33" s="162"/>
      <c r="N33" s="162"/>
      <c r="O33" s="162"/>
      <c r="P33" s="1"/>
    </row>
    <row r="34" spans="1:16" ht="20.100000000000001" customHeight="1" x14ac:dyDescent="0.25">
      <c r="A34" s="163"/>
      <c r="C34" s="108" t="s">
        <v>81</v>
      </c>
      <c r="D34" s="52">
        <v>36</v>
      </c>
      <c r="E34" s="100">
        <f>28</f>
        <v>28</v>
      </c>
      <c r="F34" s="109">
        <f>1.5-0.075-0.04-0.036-0.036+0.374</f>
        <v>1.6869999999999998</v>
      </c>
      <c r="G34" s="162" t="str">
        <f t="shared" ref="G34:G38" si="18">IF(D34 = 8,E34*F34," -")</f>
        <v xml:space="preserve"> -</v>
      </c>
      <c r="H34" s="162" t="str">
        <f t="shared" ref="H34:H38" si="19">IF(D34 = 10,E34*F34," -")</f>
        <v xml:space="preserve"> -</v>
      </c>
      <c r="I34" s="162" t="str">
        <f t="shared" ref="I34:I38" si="20">IF(D34=12,E34*F34,"-")</f>
        <v>-</v>
      </c>
      <c r="J34" s="162" t="str">
        <f t="shared" ref="J34:J38" si="21">IF(D34=16,E34*F34,"-")</f>
        <v>-</v>
      </c>
      <c r="K34" s="162" t="str">
        <f t="shared" ref="K34:K38" si="22">IF(D34=20,E34*F34,"-")</f>
        <v>-</v>
      </c>
      <c r="L34" s="162" t="str">
        <f t="shared" ref="L34:L38" si="23">IF(D34=25,E34*F34,"-")</f>
        <v>-</v>
      </c>
      <c r="M34" s="162" t="str">
        <f t="shared" ref="M34:M38" si="24">IF(D34=28,E34*F34,"-")</f>
        <v>-</v>
      </c>
      <c r="N34" s="162" t="str">
        <f t="shared" ref="N34:N38" si="25">IF(D34=32,E34*F34,"-")</f>
        <v>-</v>
      </c>
      <c r="O34" s="162">
        <f t="shared" ref="O34:O38" si="26">IF(D34=36,E34*F34,"-")</f>
        <v>47.235999999999997</v>
      </c>
      <c r="P34" s="1"/>
    </row>
    <row r="35" spans="1:16" ht="20.100000000000001" customHeight="1" x14ac:dyDescent="0.25">
      <c r="A35" s="163"/>
      <c r="B35" s="160" t="s">
        <v>97</v>
      </c>
      <c r="C35" s="107" t="s">
        <v>88</v>
      </c>
      <c r="D35" s="52"/>
      <c r="E35" s="100"/>
      <c r="F35" s="109"/>
      <c r="G35" s="162"/>
      <c r="H35" s="162"/>
      <c r="I35" s="162"/>
      <c r="J35" s="162"/>
      <c r="K35" s="162"/>
      <c r="L35" s="162"/>
      <c r="M35" s="162"/>
      <c r="N35" s="162"/>
      <c r="O35" s="162"/>
      <c r="P35" s="1"/>
    </row>
    <row r="36" spans="1:16" ht="20.100000000000001" customHeight="1" x14ac:dyDescent="0.25">
      <c r="A36" s="163"/>
      <c r="C36" s="108" t="s">
        <v>89</v>
      </c>
      <c r="D36" s="52">
        <v>10</v>
      </c>
      <c r="E36" s="50">
        <f>15</f>
        <v>15</v>
      </c>
      <c r="F36" s="51">
        <f>+((1-0.1-0.04)*2+((1-0.1-0.035)*2)+(0.1*2))</f>
        <v>3.6500000000000004</v>
      </c>
      <c r="G36" s="162" t="str">
        <f t="shared" si="18"/>
        <v xml:space="preserve"> -</v>
      </c>
      <c r="H36" s="162">
        <f t="shared" si="19"/>
        <v>54.750000000000007</v>
      </c>
      <c r="I36" s="162" t="str">
        <f t="shared" si="20"/>
        <v>-</v>
      </c>
      <c r="J36" s="162" t="str">
        <f t="shared" si="21"/>
        <v>-</v>
      </c>
      <c r="K36" s="162" t="str">
        <f t="shared" si="22"/>
        <v>-</v>
      </c>
      <c r="L36" s="162" t="str">
        <f t="shared" si="23"/>
        <v>-</v>
      </c>
      <c r="M36" s="162" t="str">
        <f t="shared" si="24"/>
        <v>-</v>
      </c>
      <c r="N36" s="162" t="str">
        <f t="shared" si="25"/>
        <v>-</v>
      </c>
      <c r="O36" s="162" t="str">
        <f t="shared" si="26"/>
        <v>-</v>
      </c>
      <c r="P36" s="1"/>
    </row>
    <row r="37" spans="1:16" ht="20.100000000000001" customHeight="1" x14ac:dyDescent="0.25">
      <c r="A37" s="163"/>
      <c r="B37" s="160"/>
      <c r="C37" s="108" t="s">
        <v>90</v>
      </c>
      <c r="D37" s="52">
        <v>10</v>
      </c>
      <c r="E37" s="50">
        <f>14*3</f>
        <v>42</v>
      </c>
      <c r="F37" s="51">
        <f>+((1-0.1-0.04)*2+(0.182*2)+0.2)</f>
        <v>2.2840000000000003</v>
      </c>
      <c r="G37" s="162" t="str">
        <f t="shared" si="18"/>
        <v xml:space="preserve"> -</v>
      </c>
      <c r="H37" s="162">
        <f t="shared" si="19"/>
        <v>95.928000000000011</v>
      </c>
      <c r="I37" s="162" t="str">
        <f t="shared" si="20"/>
        <v>-</v>
      </c>
      <c r="J37" s="162" t="str">
        <f t="shared" si="21"/>
        <v>-</v>
      </c>
      <c r="K37" s="162" t="str">
        <f t="shared" si="22"/>
        <v>-</v>
      </c>
      <c r="L37" s="162" t="str">
        <f t="shared" si="23"/>
        <v>-</v>
      </c>
      <c r="M37" s="162" t="str">
        <f t="shared" si="24"/>
        <v>-</v>
      </c>
      <c r="N37" s="162" t="str">
        <f t="shared" si="25"/>
        <v>-</v>
      </c>
      <c r="O37" s="162" t="str">
        <f t="shared" si="26"/>
        <v>-</v>
      </c>
      <c r="P37" s="1"/>
    </row>
    <row r="38" spans="1:16" ht="20.100000000000001" customHeight="1" x14ac:dyDescent="0.25">
      <c r="A38" s="163"/>
      <c r="B38" s="160"/>
      <c r="C38" s="108" t="s">
        <v>90</v>
      </c>
      <c r="D38" s="52">
        <v>10</v>
      </c>
      <c r="E38" s="50">
        <f>14*3</f>
        <v>42</v>
      </c>
      <c r="F38" s="51">
        <f>+((1-0.1-0.04-0.035)*2+(0.182*2)+0.2)</f>
        <v>2.214</v>
      </c>
      <c r="G38" s="162" t="str">
        <f t="shared" si="18"/>
        <v xml:space="preserve"> -</v>
      </c>
      <c r="H38" s="162">
        <f t="shared" si="19"/>
        <v>92.988</v>
      </c>
      <c r="I38" s="162" t="str">
        <f t="shared" si="20"/>
        <v>-</v>
      </c>
      <c r="J38" s="162" t="str">
        <f t="shared" si="21"/>
        <v>-</v>
      </c>
      <c r="K38" s="162" t="str">
        <f t="shared" si="22"/>
        <v>-</v>
      </c>
      <c r="L38" s="162" t="str">
        <f t="shared" si="23"/>
        <v>-</v>
      </c>
      <c r="M38" s="162" t="str">
        <f t="shared" si="24"/>
        <v>-</v>
      </c>
      <c r="N38" s="162" t="str">
        <f t="shared" si="25"/>
        <v>-</v>
      </c>
      <c r="O38" s="162" t="str">
        <f t="shared" si="26"/>
        <v>-</v>
      </c>
      <c r="P38" s="1"/>
    </row>
    <row r="39" spans="1:16" ht="20.100000000000001" customHeight="1" x14ac:dyDescent="0.25">
      <c r="A39" s="163"/>
      <c r="B39" s="160" t="s">
        <v>98</v>
      </c>
      <c r="C39" s="107" t="s">
        <v>91</v>
      </c>
      <c r="D39" s="52"/>
      <c r="E39" s="50"/>
      <c r="F39" s="51"/>
      <c r="G39" s="162"/>
      <c r="H39" s="162"/>
      <c r="I39" s="162"/>
      <c r="J39" s="162"/>
      <c r="K39" s="162"/>
      <c r="L39" s="162"/>
      <c r="M39" s="162"/>
      <c r="N39" s="162"/>
      <c r="O39" s="162"/>
      <c r="P39" s="1"/>
    </row>
    <row r="40" spans="1:16" ht="20.100000000000001" customHeight="1" x14ac:dyDescent="0.25">
      <c r="A40" s="163"/>
      <c r="B40" s="160"/>
      <c r="C40" s="108" t="s">
        <v>81</v>
      </c>
      <c r="D40" s="52">
        <v>36</v>
      </c>
      <c r="E40" s="100">
        <v>20</v>
      </c>
      <c r="F40" s="109">
        <f>1.5-0.075-0.04-0.036-0.036+0.374</f>
        <v>1.6869999999999998</v>
      </c>
      <c r="G40" s="162" t="str">
        <f t="shared" ref="G40:G44" si="27">IF(D40 = 8,E40*F40," -")</f>
        <v xml:space="preserve"> -</v>
      </c>
      <c r="H40" s="162" t="str">
        <f t="shared" ref="H40:H44" si="28">IF(D40 = 10,E40*F40," -")</f>
        <v xml:space="preserve"> -</v>
      </c>
      <c r="I40" s="162" t="str">
        <f t="shared" ref="I40:I44" si="29">IF(D40=12,E40*F40,"-")</f>
        <v>-</v>
      </c>
      <c r="J40" s="162" t="str">
        <f t="shared" ref="J40:J44" si="30">IF(D40=16,E40*F40,"-")</f>
        <v>-</v>
      </c>
      <c r="K40" s="162" t="str">
        <f t="shared" ref="K40:K44" si="31">IF(D40=20,E40*F40,"-")</f>
        <v>-</v>
      </c>
      <c r="L40" s="162" t="str">
        <f t="shared" ref="L40:L44" si="32">IF(D40=25,E40*F40,"-")</f>
        <v>-</v>
      </c>
      <c r="M40" s="162" t="str">
        <f t="shared" ref="M40:M44" si="33">IF(D40=28,E40*F40,"-")</f>
        <v>-</v>
      </c>
      <c r="N40" s="162" t="str">
        <f t="shared" ref="N40:N44" si="34">IF(D40=32,E40*F40,"-")</f>
        <v>-</v>
      </c>
      <c r="O40" s="162">
        <f t="shared" ref="O40:O44" si="35">IF(D40=36,E40*F40,"-")</f>
        <v>33.739999999999995</v>
      </c>
      <c r="P40" s="1"/>
    </row>
    <row r="41" spans="1:16" ht="20.100000000000001" customHeight="1" x14ac:dyDescent="0.25">
      <c r="A41" s="163"/>
      <c r="B41" s="160" t="s">
        <v>97</v>
      </c>
      <c r="C41" s="107" t="s">
        <v>91</v>
      </c>
      <c r="D41" s="52"/>
      <c r="E41" s="100"/>
      <c r="F41" s="109"/>
      <c r="G41" s="162"/>
      <c r="H41" s="162"/>
      <c r="I41" s="162"/>
      <c r="J41" s="162"/>
      <c r="K41" s="162"/>
      <c r="L41" s="162"/>
      <c r="M41" s="162"/>
      <c r="N41" s="162"/>
      <c r="O41" s="162"/>
      <c r="P41" s="1"/>
    </row>
    <row r="42" spans="1:16" ht="20.100000000000001" customHeight="1" x14ac:dyDescent="0.25">
      <c r="A42" s="163"/>
      <c r="C42" s="108" t="s">
        <v>89</v>
      </c>
      <c r="D42" s="52">
        <v>10</v>
      </c>
      <c r="E42" s="50">
        <f>15</f>
        <v>15</v>
      </c>
      <c r="F42" s="51">
        <f>+((1-0.1-0.04)*2+((0.75-0.1)*2)+(0.1*2))</f>
        <v>3.22</v>
      </c>
      <c r="G42" s="162" t="str">
        <f t="shared" si="27"/>
        <v xml:space="preserve"> -</v>
      </c>
      <c r="H42" s="162">
        <f t="shared" si="28"/>
        <v>48.300000000000004</v>
      </c>
      <c r="I42" s="162" t="str">
        <f t="shared" si="29"/>
        <v>-</v>
      </c>
      <c r="J42" s="162" t="str">
        <f t="shared" si="30"/>
        <v>-</v>
      </c>
      <c r="K42" s="162" t="str">
        <f t="shared" si="31"/>
        <v>-</v>
      </c>
      <c r="L42" s="162" t="str">
        <f t="shared" si="32"/>
        <v>-</v>
      </c>
      <c r="M42" s="162" t="str">
        <f t="shared" si="33"/>
        <v>-</v>
      </c>
      <c r="N42" s="162" t="str">
        <f t="shared" si="34"/>
        <v>-</v>
      </c>
      <c r="O42" s="162" t="str">
        <f t="shared" si="35"/>
        <v>-</v>
      </c>
      <c r="P42" s="1"/>
    </row>
    <row r="43" spans="1:16" ht="20.100000000000001" customHeight="1" x14ac:dyDescent="0.25">
      <c r="A43" s="163"/>
      <c r="B43" s="160"/>
      <c r="C43" s="108" t="s">
        <v>90</v>
      </c>
      <c r="D43" s="52">
        <v>10</v>
      </c>
      <c r="E43" s="50">
        <f>14*2</f>
        <v>28</v>
      </c>
      <c r="F43" s="51">
        <f>+((1-0.1-0.04)*2+(0.186*2)+0.2)</f>
        <v>2.2920000000000003</v>
      </c>
      <c r="G43" s="162" t="str">
        <f t="shared" si="27"/>
        <v xml:space="preserve"> -</v>
      </c>
      <c r="H43" s="162">
        <f t="shared" si="28"/>
        <v>64.176000000000002</v>
      </c>
      <c r="I43" s="162" t="str">
        <f t="shared" si="29"/>
        <v>-</v>
      </c>
      <c r="J43" s="162" t="str">
        <f t="shared" si="30"/>
        <v>-</v>
      </c>
      <c r="K43" s="162" t="str">
        <f t="shared" si="31"/>
        <v>-</v>
      </c>
      <c r="L43" s="162" t="str">
        <f t="shared" si="32"/>
        <v>-</v>
      </c>
      <c r="M43" s="162" t="str">
        <f t="shared" si="33"/>
        <v>-</v>
      </c>
      <c r="N43" s="162" t="str">
        <f t="shared" si="34"/>
        <v>-</v>
      </c>
      <c r="O43" s="162" t="str">
        <f t="shared" si="35"/>
        <v>-</v>
      </c>
      <c r="P43" s="1"/>
    </row>
    <row r="44" spans="1:16" x14ac:dyDescent="0.25">
      <c r="A44" s="163"/>
      <c r="B44" s="160"/>
      <c r="C44" s="108" t="s">
        <v>90</v>
      </c>
      <c r="D44" s="52">
        <v>10</v>
      </c>
      <c r="E44" s="50">
        <f>14*2</f>
        <v>28</v>
      </c>
      <c r="F44" s="51">
        <f>+((0.75-0.1-0.04)*2+(0.236*2)+0.2)</f>
        <v>1.8919999999999999</v>
      </c>
      <c r="G44" s="162" t="str">
        <f t="shared" si="27"/>
        <v xml:space="preserve"> -</v>
      </c>
      <c r="H44" s="162">
        <f t="shared" si="28"/>
        <v>52.975999999999999</v>
      </c>
      <c r="I44" s="162" t="str">
        <f t="shared" si="29"/>
        <v>-</v>
      </c>
      <c r="J44" s="162" t="str">
        <f t="shared" si="30"/>
        <v>-</v>
      </c>
      <c r="K44" s="162" t="str">
        <f t="shared" si="31"/>
        <v>-</v>
      </c>
      <c r="L44" s="162" t="str">
        <f t="shared" si="32"/>
        <v>-</v>
      </c>
      <c r="M44" s="162" t="str">
        <f t="shared" si="33"/>
        <v>-</v>
      </c>
      <c r="N44" s="162" t="str">
        <f t="shared" si="34"/>
        <v>-</v>
      </c>
      <c r="O44" s="162" t="str">
        <f t="shared" si="35"/>
        <v>-</v>
      </c>
      <c r="P44" s="1"/>
    </row>
    <row r="45" spans="1:16" ht="19.149999999999999" customHeight="1" x14ac:dyDescent="0.25">
      <c r="A45" s="163"/>
      <c r="B45" s="160" t="s">
        <v>98</v>
      </c>
      <c r="C45" s="107" t="s">
        <v>92</v>
      </c>
      <c r="D45" s="52"/>
      <c r="E45" s="50"/>
      <c r="F45" s="51"/>
      <c r="G45" s="162"/>
      <c r="H45" s="162"/>
      <c r="I45" s="162"/>
      <c r="J45" s="162"/>
      <c r="K45" s="162"/>
      <c r="L45" s="162"/>
      <c r="M45" s="162"/>
      <c r="N45" s="162"/>
      <c r="O45" s="162"/>
      <c r="P45" s="1"/>
    </row>
    <row r="46" spans="1:16" ht="19.149999999999999" customHeight="1" x14ac:dyDescent="0.25">
      <c r="A46" s="163"/>
      <c r="B46" s="160"/>
      <c r="C46" s="108" t="s">
        <v>81</v>
      </c>
      <c r="D46" s="52">
        <v>36</v>
      </c>
      <c r="E46" s="100">
        <v>24</v>
      </c>
      <c r="F46" s="109">
        <f>1.5-0.075-0.04-0.036-0.036+0.374</f>
        <v>1.6869999999999998</v>
      </c>
      <c r="G46" s="162" t="str">
        <f t="shared" ref="G46:G52" si="36">IF(D46 = 8,E46*F46," -")</f>
        <v xml:space="preserve"> -</v>
      </c>
      <c r="H46" s="162" t="str">
        <f t="shared" ref="H46:H52" si="37">IF(D46 = 10,E46*F46," -")</f>
        <v xml:space="preserve"> -</v>
      </c>
      <c r="I46" s="162" t="str">
        <f t="shared" ref="I46:I52" si="38">IF(D46=12,E46*F46,"-")</f>
        <v>-</v>
      </c>
      <c r="J46" s="162" t="str">
        <f t="shared" ref="J46:J52" si="39">IF(D46=16,E46*F46,"-")</f>
        <v>-</v>
      </c>
      <c r="K46" s="162" t="str">
        <f t="shared" ref="K46:K52" si="40">IF(D46=20,E46*F46,"-")</f>
        <v>-</v>
      </c>
      <c r="L46" s="162" t="str">
        <f t="shared" ref="L46:L52" si="41">IF(D46=25,E46*F46,"-")</f>
        <v>-</v>
      </c>
      <c r="M46" s="162" t="str">
        <f t="shared" ref="M46:M52" si="42">IF(D46=28,E46*F46,"-")</f>
        <v>-</v>
      </c>
      <c r="N46" s="162" t="str">
        <f t="shared" ref="N46:N52" si="43">IF(D46=32,E46*F46,"-")</f>
        <v>-</v>
      </c>
      <c r="O46" s="162">
        <f t="shared" ref="O46:O52" si="44">IF(D46=36,E46*F46,"-")</f>
        <v>40.488</v>
      </c>
      <c r="P46" s="1"/>
    </row>
    <row r="47" spans="1:16" ht="19.149999999999999" customHeight="1" x14ac:dyDescent="0.25">
      <c r="A47" s="163"/>
      <c r="B47" s="160" t="s">
        <v>97</v>
      </c>
      <c r="C47" s="107" t="s">
        <v>92</v>
      </c>
      <c r="D47" s="52"/>
      <c r="E47" s="100"/>
      <c r="F47" s="109"/>
      <c r="G47" s="162"/>
      <c r="H47" s="162"/>
      <c r="I47" s="162"/>
      <c r="J47" s="162"/>
      <c r="K47" s="162"/>
      <c r="L47" s="162"/>
      <c r="M47" s="162"/>
      <c r="N47" s="162"/>
      <c r="O47" s="162"/>
      <c r="P47" s="1"/>
    </row>
    <row r="48" spans="1:16" ht="18.600000000000001" customHeight="1" x14ac:dyDescent="0.25">
      <c r="A48" s="163"/>
      <c r="C48" s="108" t="s">
        <v>89</v>
      </c>
      <c r="D48" s="52">
        <v>10</v>
      </c>
      <c r="E48" s="50">
        <f>15</f>
        <v>15</v>
      </c>
      <c r="F48" s="51">
        <f>+((1-0.1-0.04)*2+((0.75-0.1-0.035)*2)+(0.1*2))</f>
        <v>3.1500000000000004</v>
      </c>
      <c r="G48" s="162" t="str">
        <f t="shared" si="36"/>
        <v xml:space="preserve"> -</v>
      </c>
      <c r="H48" s="162">
        <f t="shared" si="37"/>
        <v>47.250000000000007</v>
      </c>
      <c r="I48" s="162" t="str">
        <f t="shared" si="38"/>
        <v>-</v>
      </c>
      <c r="J48" s="162" t="str">
        <f t="shared" si="39"/>
        <v>-</v>
      </c>
      <c r="K48" s="162" t="str">
        <f t="shared" si="40"/>
        <v>-</v>
      </c>
      <c r="L48" s="162" t="str">
        <f t="shared" si="41"/>
        <v>-</v>
      </c>
      <c r="M48" s="162" t="str">
        <f t="shared" si="42"/>
        <v>-</v>
      </c>
      <c r="N48" s="162" t="str">
        <f t="shared" si="43"/>
        <v>-</v>
      </c>
      <c r="O48" s="162" t="str">
        <f t="shared" si="44"/>
        <v>-</v>
      </c>
      <c r="P48" s="1"/>
    </row>
    <row r="49" spans="1:16" ht="20.100000000000001" customHeight="1" x14ac:dyDescent="0.25">
      <c r="A49" s="163"/>
      <c r="B49" s="160"/>
      <c r="C49" s="108" t="s">
        <v>86</v>
      </c>
      <c r="D49" s="52">
        <v>10</v>
      </c>
      <c r="E49" s="50">
        <v>14</v>
      </c>
      <c r="F49" s="51">
        <f>+((1-0.1-0.04)*2+(0.164*2)+0.2)</f>
        <v>2.2480000000000002</v>
      </c>
      <c r="G49" s="162" t="str">
        <f t="shared" si="36"/>
        <v xml:space="preserve"> -</v>
      </c>
      <c r="H49" s="162">
        <f t="shared" si="37"/>
        <v>31.472000000000001</v>
      </c>
      <c r="I49" s="162" t="str">
        <f t="shared" si="38"/>
        <v>-</v>
      </c>
      <c r="J49" s="162" t="str">
        <f t="shared" si="39"/>
        <v>-</v>
      </c>
      <c r="K49" s="162" t="str">
        <f t="shared" si="40"/>
        <v>-</v>
      </c>
      <c r="L49" s="162" t="str">
        <f t="shared" si="41"/>
        <v>-</v>
      </c>
      <c r="M49" s="162" t="str">
        <f t="shared" si="42"/>
        <v>-</v>
      </c>
      <c r="N49" s="162" t="str">
        <f t="shared" si="43"/>
        <v>-</v>
      </c>
      <c r="O49" s="162" t="str">
        <f t="shared" si="44"/>
        <v>-</v>
      </c>
      <c r="P49" s="1"/>
    </row>
    <row r="50" spans="1:16" ht="20.100000000000001" customHeight="1" x14ac:dyDescent="0.25">
      <c r="A50" s="163"/>
      <c r="B50" s="160"/>
      <c r="C50" s="108" t="s">
        <v>87</v>
      </c>
      <c r="D50" s="52">
        <v>10</v>
      </c>
      <c r="E50" s="50">
        <v>14</v>
      </c>
      <c r="F50" s="51">
        <f>0.9+0.1+0.1</f>
        <v>1.1000000000000001</v>
      </c>
      <c r="G50" s="162" t="str">
        <f t="shared" si="36"/>
        <v xml:space="preserve"> -</v>
      </c>
      <c r="H50" s="162">
        <f t="shared" si="37"/>
        <v>15.400000000000002</v>
      </c>
      <c r="I50" s="162" t="str">
        <f t="shared" si="38"/>
        <v>-</v>
      </c>
      <c r="J50" s="162" t="str">
        <f t="shared" si="39"/>
        <v>-</v>
      </c>
      <c r="K50" s="162" t="str">
        <f t="shared" si="40"/>
        <v>-</v>
      </c>
      <c r="L50" s="162" t="str">
        <f t="shared" si="41"/>
        <v>-</v>
      </c>
      <c r="M50" s="162" t="str">
        <f t="shared" si="42"/>
        <v>-</v>
      </c>
      <c r="N50" s="162" t="str">
        <f t="shared" si="43"/>
        <v>-</v>
      </c>
      <c r="O50" s="162" t="str">
        <f t="shared" si="44"/>
        <v>-</v>
      </c>
      <c r="P50" s="1"/>
    </row>
    <row r="51" spans="1:16" ht="20.100000000000001" customHeight="1" x14ac:dyDescent="0.25">
      <c r="A51" s="163"/>
      <c r="B51" s="160"/>
      <c r="C51" s="108" t="s">
        <v>86</v>
      </c>
      <c r="D51" s="52">
        <v>10</v>
      </c>
      <c r="E51" s="50">
        <v>14</v>
      </c>
      <c r="F51" s="51">
        <f>+((0.75-0.1-0.04)*2+(0.206*2)+0.2)</f>
        <v>1.8319999999999999</v>
      </c>
      <c r="G51" s="162" t="str">
        <f t="shared" si="36"/>
        <v xml:space="preserve"> -</v>
      </c>
      <c r="H51" s="162">
        <f t="shared" si="37"/>
        <v>25.647999999999996</v>
      </c>
      <c r="I51" s="162" t="str">
        <f t="shared" si="38"/>
        <v>-</v>
      </c>
      <c r="J51" s="162" t="str">
        <f t="shared" si="39"/>
        <v>-</v>
      </c>
      <c r="K51" s="162" t="str">
        <f t="shared" si="40"/>
        <v>-</v>
      </c>
      <c r="L51" s="162" t="str">
        <f t="shared" si="41"/>
        <v>-</v>
      </c>
      <c r="M51" s="162" t="str">
        <f t="shared" si="42"/>
        <v>-</v>
      </c>
      <c r="N51" s="162" t="str">
        <f t="shared" si="43"/>
        <v>-</v>
      </c>
      <c r="O51" s="162" t="str">
        <f t="shared" si="44"/>
        <v>-</v>
      </c>
      <c r="P51" s="1"/>
    </row>
    <row r="52" spans="1:16" ht="20.100000000000001" customHeight="1" x14ac:dyDescent="0.25">
      <c r="A52" s="163"/>
      <c r="B52" s="160"/>
      <c r="C52" s="108" t="s">
        <v>87</v>
      </c>
      <c r="D52" s="52">
        <v>10</v>
      </c>
      <c r="E52" s="50">
        <v>12</v>
      </c>
      <c r="F52" s="51">
        <f>0.65+0.1+0.1</f>
        <v>0.85</v>
      </c>
      <c r="G52" s="162" t="str">
        <f t="shared" si="36"/>
        <v xml:space="preserve"> -</v>
      </c>
      <c r="H52" s="162">
        <f t="shared" si="37"/>
        <v>10.199999999999999</v>
      </c>
      <c r="I52" s="162" t="str">
        <f t="shared" si="38"/>
        <v>-</v>
      </c>
      <c r="J52" s="162" t="str">
        <f t="shared" si="39"/>
        <v>-</v>
      </c>
      <c r="K52" s="162" t="str">
        <f t="shared" si="40"/>
        <v>-</v>
      </c>
      <c r="L52" s="162" t="str">
        <f t="shared" si="41"/>
        <v>-</v>
      </c>
      <c r="M52" s="162" t="str">
        <f t="shared" si="42"/>
        <v>-</v>
      </c>
      <c r="N52" s="162" t="str">
        <f t="shared" si="43"/>
        <v>-</v>
      </c>
      <c r="O52" s="162" t="str">
        <f t="shared" si="44"/>
        <v>-</v>
      </c>
      <c r="P52" s="1"/>
    </row>
    <row r="53" spans="1:16" ht="20.100000000000001" customHeight="1" x14ac:dyDescent="0.25">
      <c r="A53" s="156"/>
      <c r="B53" s="157" t="s">
        <v>98</v>
      </c>
      <c r="C53" s="164" t="s">
        <v>93</v>
      </c>
      <c r="D53" s="52"/>
      <c r="E53" s="50"/>
      <c r="F53" s="99"/>
      <c r="G53" s="162"/>
      <c r="H53" s="162"/>
      <c r="I53" s="162"/>
      <c r="J53" s="162"/>
      <c r="K53" s="162"/>
      <c r="L53" s="162"/>
      <c r="M53" s="162"/>
      <c r="N53" s="162"/>
      <c r="O53" s="162"/>
      <c r="P53" s="1"/>
    </row>
    <row r="54" spans="1:16" ht="20.100000000000001" customHeight="1" x14ac:dyDescent="0.25">
      <c r="A54" s="163"/>
      <c r="B54" s="160"/>
      <c r="C54" s="50" t="s">
        <v>81</v>
      </c>
      <c r="D54" s="52">
        <v>25</v>
      </c>
      <c r="E54" s="50">
        <f>(23+22)*2</f>
        <v>90</v>
      </c>
      <c r="F54" s="109">
        <f>1.5-0.075-0.04-0.036-0.036+0.374</f>
        <v>1.6869999999999998</v>
      </c>
      <c r="G54" s="162" t="str">
        <f t="shared" ref="G54:G56" si="45">IF(D54 = 8,E54*F54," -")</f>
        <v xml:space="preserve"> -</v>
      </c>
      <c r="H54" s="162" t="str">
        <f t="shared" ref="H54:H56" si="46">IF(D54 = 10,E54*F54," -")</f>
        <v xml:space="preserve"> -</v>
      </c>
      <c r="I54" s="162" t="str">
        <f t="shared" ref="I54:I56" si="47">IF(D54=12,E54*F54,"-")</f>
        <v>-</v>
      </c>
      <c r="J54" s="162" t="str">
        <f t="shared" ref="J54:J56" si="48">IF(D54=16,E54*F54,"-")</f>
        <v>-</v>
      </c>
      <c r="K54" s="162" t="str">
        <f t="shared" ref="K54:K56" si="49">IF(D54=20,E54*F54,"-")</f>
        <v>-</v>
      </c>
      <c r="L54" s="162">
        <f t="shared" ref="L54:L56" si="50">IF(D54=25,E54*F54,"-")</f>
        <v>151.82999999999998</v>
      </c>
      <c r="M54" s="162" t="str">
        <f t="shared" ref="M54:M56" si="51">IF(D54=28,E54*F54,"-")</f>
        <v>-</v>
      </c>
      <c r="N54" s="162" t="str">
        <f t="shared" ref="N54:N56" si="52">IF(D54=32,E54*F54,"-")</f>
        <v>-</v>
      </c>
      <c r="O54" s="162" t="str">
        <f>IF(D54=36,E54*F54,"-")</f>
        <v>-</v>
      </c>
      <c r="P54" s="1"/>
    </row>
    <row r="55" spans="1:16" ht="20.100000000000001" customHeight="1" x14ac:dyDescent="0.25">
      <c r="A55" s="163"/>
      <c r="B55" s="160" t="s">
        <v>97</v>
      </c>
      <c r="C55" s="164" t="s">
        <v>93</v>
      </c>
      <c r="D55" s="52"/>
      <c r="E55" s="50"/>
      <c r="F55" s="109"/>
      <c r="G55" s="162"/>
      <c r="H55" s="162"/>
      <c r="I55" s="162"/>
      <c r="J55" s="162"/>
      <c r="K55" s="162"/>
      <c r="L55" s="162"/>
      <c r="M55" s="162"/>
      <c r="N55" s="162"/>
      <c r="O55" s="162"/>
      <c r="P55" s="1"/>
    </row>
    <row r="56" spans="1:16" ht="20.100000000000001" customHeight="1" x14ac:dyDescent="0.25">
      <c r="A56" s="163"/>
      <c r="C56" s="50" t="s">
        <v>94</v>
      </c>
      <c r="D56" s="52">
        <v>12</v>
      </c>
      <c r="E56" s="50">
        <v>2</v>
      </c>
      <c r="F56" s="99">
        <v>8.8000000000000007</v>
      </c>
      <c r="G56" s="162" t="str">
        <f t="shared" si="45"/>
        <v xml:space="preserve"> -</v>
      </c>
      <c r="H56" s="162" t="str">
        <f t="shared" si="46"/>
        <v xml:space="preserve"> -</v>
      </c>
      <c r="I56" s="162">
        <f t="shared" si="47"/>
        <v>17.600000000000001</v>
      </c>
      <c r="J56" s="162" t="str">
        <f t="shared" si="48"/>
        <v>-</v>
      </c>
      <c r="K56" s="162" t="str">
        <f t="shared" si="49"/>
        <v>-</v>
      </c>
      <c r="L56" s="162" t="str">
        <f t="shared" si="50"/>
        <v>-</v>
      </c>
      <c r="M56" s="162" t="str">
        <f t="shared" si="51"/>
        <v>-</v>
      </c>
      <c r="N56" s="162" t="str">
        <f t="shared" si="52"/>
        <v>-</v>
      </c>
      <c r="O56" s="162" t="str">
        <f t="shared" ref="O56" si="53">IF(D56=36,E56*F56,"-")</f>
        <v>-</v>
      </c>
      <c r="P56" s="1"/>
    </row>
    <row r="57" spans="1:16" ht="20.100000000000001" customHeight="1" x14ac:dyDescent="0.25">
      <c r="A57" s="163"/>
      <c r="B57" s="160" t="s">
        <v>98</v>
      </c>
      <c r="C57" s="107" t="s">
        <v>95</v>
      </c>
      <c r="D57" s="52"/>
      <c r="E57" s="50"/>
      <c r="F57" s="51"/>
      <c r="G57" s="162"/>
      <c r="H57" s="162"/>
      <c r="I57" s="162"/>
      <c r="J57" s="162"/>
      <c r="K57" s="162"/>
      <c r="L57" s="162"/>
      <c r="M57" s="162"/>
      <c r="N57" s="162"/>
      <c r="O57" s="162"/>
      <c r="P57" s="1"/>
    </row>
    <row r="58" spans="1:16" ht="20.100000000000001" customHeight="1" x14ac:dyDescent="0.25">
      <c r="A58" s="163"/>
      <c r="B58" s="160"/>
      <c r="C58" s="50" t="s">
        <v>81</v>
      </c>
      <c r="D58" s="52">
        <v>28</v>
      </c>
      <c r="E58" s="50">
        <f>(16+15)*2</f>
        <v>62</v>
      </c>
      <c r="F58" s="109">
        <f>1.5-0.075-0.04-0.036-0.036+0.374</f>
        <v>1.6869999999999998</v>
      </c>
      <c r="G58" s="162" t="str">
        <f t="shared" ref="G58:G62" si="54">IF(D58 = 8,E58*F58," -")</f>
        <v xml:space="preserve"> -</v>
      </c>
      <c r="H58" s="162" t="str">
        <f t="shared" ref="H58:H62" si="55">IF(D58 = 10,E58*F58," -")</f>
        <v xml:space="preserve"> -</v>
      </c>
      <c r="I58" s="162" t="str">
        <f t="shared" ref="I58:I62" si="56">IF(D58=12,E58*F58,"-")</f>
        <v>-</v>
      </c>
      <c r="J58" s="162" t="str">
        <f t="shared" ref="J58:J62" si="57">IF(D58=16,E58*F58,"-")</f>
        <v>-</v>
      </c>
      <c r="K58" s="162" t="str">
        <f t="shared" ref="K58:K62" si="58">IF(D58=20,E58*F58,"-")</f>
        <v>-</v>
      </c>
      <c r="L58" s="162" t="str">
        <f t="shared" ref="L58:L62" si="59">IF(D58=25,E58*F58,"-")</f>
        <v>-</v>
      </c>
      <c r="M58" s="162">
        <f t="shared" ref="M58:M62" si="60">IF(D58=28,E58*F58,"-")</f>
        <v>104.59399999999999</v>
      </c>
      <c r="N58" s="162" t="str">
        <f t="shared" ref="N58:N62" si="61">IF(D58=32,E58*F58,"-")</f>
        <v>-</v>
      </c>
      <c r="O58" s="162" t="str">
        <f t="shared" ref="O58:O62" si="62">IF(D58=36,E58*F58,"-")</f>
        <v>-</v>
      </c>
      <c r="P58" s="1"/>
    </row>
    <row r="59" spans="1:16" ht="20.100000000000001" customHeight="1" x14ac:dyDescent="0.25">
      <c r="A59" s="163"/>
      <c r="B59" s="160" t="s">
        <v>97</v>
      </c>
      <c r="C59" s="107" t="s">
        <v>95</v>
      </c>
      <c r="D59" s="52"/>
      <c r="E59" s="50"/>
      <c r="F59" s="109"/>
      <c r="G59" s="162"/>
      <c r="H59" s="162"/>
      <c r="I59" s="162"/>
      <c r="J59" s="162"/>
      <c r="K59" s="162"/>
      <c r="L59" s="162"/>
      <c r="M59" s="162"/>
      <c r="N59" s="162"/>
      <c r="O59" s="162"/>
      <c r="P59" s="1"/>
    </row>
    <row r="60" spans="1:16" ht="20.100000000000001" customHeight="1" x14ac:dyDescent="0.25">
      <c r="A60" s="163"/>
      <c r="C60" s="50" t="s">
        <v>94</v>
      </c>
      <c r="D60" s="52">
        <v>12</v>
      </c>
      <c r="E60" s="50">
        <v>2</v>
      </c>
      <c r="F60" s="99">
        <v>6.1</v>
      </c>
      <c r="G60" s="162" t="str">
        <f t="shared" si="54"/>
        <v xml:space="preserve"> -</v>
      </c>
      <c r="H60" s="162" t="str">
        <f t="shared" si="55"/>
        <v xml:space="preserve"> -</v>
      </c>
      <c r="I60" s="162">
        <f t="shared" si="56"/>
        <v>12.2</v>
      </c>
      <c r="J60" s="162" t="str">
        <f t="shared" si="57"/>
        <v>-</v>
      </c>
      <c r="K60" s="162" t="str">
        <f t="shared" si="58"/>
        <v>-</v>
      </c>
      <c r="L60" s="162" t="str">
        <f t="shared" si="59"/>
        <v>-</v>
      </c>
      <c r="M60" s="162" t="str">
        <f t="shared" si="60"/>
        <v>-</v>
      </c>
      <c r="N60" s="162" t="str">
        <f t="shared" si="61"/>
        <v>-</v>
      </c>
      <c r="O60" s="162" t="str">
        <f t="shared" si="62"/>
        <v>-</v>
      </c>
      <c r="P60" s="1"/>
    </row>
    <row r="61" spans="1:16" ht="20.100000000000001" customHeight="1" x14ac:dyDescent="0.25">
      <c r="A61" s="163"/>
      <c r="B61" s="160" t="s">
        <v>98</v>
      </c>
      <c r="C61" s="107" t="s">
        <v>95</v>
      </c>
      <c r="D61" s="52"/>
      <c r="E61" s="50"/>
      <c r="F61" s="99"/>
      <c r="G61" s="162"/>
      <c r="H61" s="162"/>
      <c r="I61" s="162"/>
      <c r="J61" s="162"/>
      <c r="K61" s="162"/>
      <c r="L61" s="162"/>
      <c r="M61" s="162"/>
      <c r="N61" s="162"/>
      <c r="O61" s="162"/>
      <c r="P61" s="1"/>
    </row>
    <row r="62" spans="1:16" ht="20.100000000000001" customHeight="1" x14ac:dyDescent="0.25">
      <c r="A62" s="163"/>
      <c r="B62" s="160"/>
      <c r="C62" s="53" t="s">
        <v>96</v>
      </c>
      <c r="D62" s="52">
        <v>25</v>
      </c>
      <c r="E62" s="50">
        <v>257</v>
      </c>
      <c r="F62" s="51">
        <v>4.18</v>
      </c>
      <c r="G62" s="162" t="str">
        <f t="shared" si="54"/>
        <v xml:space="preserve"> -</v>
      </c>
      <c r="H62" s="162" t="str">
        <f t="shared" si="55"/>
        <v xml:space="preserve"> -</v>
      </c>
      <c r="I62" s="162" t="str">
        <f t="shared" si="56"/>
        <v>-</v>
      </c>
      <c r="J62" s="162" t="str">
        <f t="shared" si="57"/>
        <v>-</v>
      </c>
      <c r="K62" s="162" t="str">
        <f t="shared" si="58"/>
        <v>-</v>
      </c>
      <c r="L62" s="162">
        <f t="shared" si="59"/>
        <v>1074.26</v>
      </c>
      <c r="M62" s="162" t="str">
        <f t="shared" si="60"/>
        <v>-</v>
      </c>
      <c r="N62" s="162" t="str">
        <f t="shared" si="61"/>
        <v>-</v>
      </c>
      <c r="O62" s="162" t="str">
        <f t="shared" si="62"/>
        <v>-</v>
      </c>
      <c r="P62" s="1"/>
    </row>
    <row r="63" spans="1:16" ht="20.100000000000001" customHeight="1" x14ac:dyDescent="0.25">
      <c r="A63" s="1"/>
      <c r="B63" s="1"/>
      <c r="C63" s="73"/>
      <c r="D63" s="70"/>
      <c r="E63" s="70"/>
      <c r="F63" s="71"/>
      <c r="G63" s="72"/>
      <c r="H63" s="66"/>
      <c r="I63" s="72"/>
      <c r="J63" s="72"/>
      <c r="K63" s="72"/>
      <c r="L63" s="72"/>
      <c r="M63" s="72"/>
      <c r="N63" s="72"/>
      <c r="O63" s="66"/>
      <c r="P63" s="1"/>
    </row>
    <row r="64" spans="1:16" ht="20.100000000000001" customHeight="1" x14ac:dyDescent="0.25">
      <c r="A64" s="1"/>
      <c r="B64" s="1"/>
      <c r="C64" s="73"/>
      <c r="D64" s="70"/>
      <c r="E64" s="70"/>
      <c r="F64" s="67"/>
      <c r="G64" s="72"/>
      <c r="H64" s="66"/>
      <c r="I64" s="72"/>
      <c r="J64" s="72"/>
      <c r="K64" s="72"/>
      <c r="L64" s="72"/>
      <c r="M64" s="72"/>
      <c r="N64" s="72"/>
      <c r="O64" s="66"/>
      <c r="P64" s="1"/>
    </row>
    <row r="65" spans="1:16" ht="20.100000000000001" customHeight="1" x14ac:dyDescent="0.25">
      <c r="A65" s="1"/>
      <c r="B65" s="1"/>
      <c r="C65" s="73"/>
      <c r="D65" s="70"/>
      <c r="E65" s="70"/>
      <c r="F65" s="71"/>
      <c r="G65" s="72"/>
      <c r="H65" s="66"/>
      <c r="I65" s="72"/>
      <c r="J65" s="72"/>
      <c r="K65" s="72"/>
      <c r="L65" s="72"/>
      <c r="M65" s="72"/>
      <c r="N65" s="72"/>
      <c r="O65" s="66"/>
      <c r="P65" s="1"/>
    </row>
    <row r="66" spans="1:16" ht="27" customHeight="1" x14ac:dyDescent="0.25">
      <c r="A66" s="1"/>
      <c r="B66" s="1"/>
      <c r="C66" s="73"/>
      <c r="D66" s="70"/>
      <c r="E66" s="70"/>
      <c r="F66" s="71"/>
      <c r="G66" s="72"/>
      <c r="H66" s="72"/>
      <c r="I66" s="66"/>
      <c r="J66" s="72"/>
      <c r="K66" s="72"/>
      <c r="L66" s="72"/>
      <c r="M66" s="72"/>
      <c r="N66" s="72"/>
      <c r="O66" s="66"/>
      <c r="P66" s="1"/>
    </row>
    <row r="67" spans="1:16" ht="20.100000000000001" customHeight="1" x14ac:dyDescent="0.25">
      <c r="A67" s="1"/>
      <c r="B67" s="1"/>
      <c r="C67" s="94"/>
      <c r="D67" s="65"/>
      <c r="E67" s="54"/>
      <c r="F67" s="69"/>
      <c r="G67" s="63"/>
      <c r="H67" s="57"/>
      <c r="I67" s="57"/>
      <c r="J67" s="57"/>
      <c r="K67" s="57"/>
      <c r="L67" s="57"/>
      <c r="M67" s="57"/>
      <c r="N67" s="57"/>
      <c r="O67" s="57"/>
      <c r="P67" s="1"/>
    </row>
    <row r="68" spans="1:16" ht="20.100000000000001" customHeight="1" x14ac:dyDescent="0.25">
      <c r="A68" s="1"/>
      <c r="B68" s="1"/>
      <c r="C68" s="94"/>
      <c r="D68" s="65"/>
      <c r="E68" s="54"/>
      <c r="F68" s="69"/>
      <c r="G68" s="63"/>
      <c r="H68" s="57"/>
      <c r="I68" s="57"/>
      <c r="J68" s="57"/>
      <c r="K68" s="57"/>
      <c r="L68" s="57"/>
      <c r="M68" s="57"/>
      <c r="N68" s="57"/>
      <c r="O68" s="57"/>
      <c r="P68" s="1"/>
    </row>
    <row r="69" spans="1:16" ht="20.100000000000001" customHeight="1" x14ac:dyDescent="0.25">
      <c r="A69" s="1"/>
      <c r="B69" s="1"/>
      <c r="C69" s="93"/>
      <c r="D69" s="70"/>
      <c r="E69" s="70"/>
      <c r="F69" s="71"/>
      <c r="G69" s="72"/>
      <c r="H69" s="72"/>
      <c r="I69" s="66"/>
      <c r="J69" s="72"/>
      <c r="K69" s="72"/>
      <c r="L69" s="72"/>
      <c r="M69" s="72"/>
      <c r="N69" s="72"/>
      <c r="O69" s="66"/>
      <c r="P69" s="1"/>
    </row>
    <row r="70" spans="1:16" ht="20.100000000000001" customHeight="1" x14ac:dyDescent="0.25">
      <c r="A70" s="1"/>
      <c r="B70" s="1"/>
      <c r="C70" s="73"/>
      <c r="D70" s="70"/>
      <c r="E70" s="70"/>
      <c r="F70" s="71"/>
      <c r="G70" s="72"/>
      <c r="H70" s="72"/>
      <c r="I70" s="72"/>
      <c r="J70" s="72"/>
      <c r="K70" s="72"/>
      <c r="L70" s="72"/>
      <c r="M70" s="72"/>
      <c r="N70" s="72"/>
      <c r="O70" s="66"/>
      <c r="P70" s="1"/>
    </row>
    <row r="71" spans="1:16" ht="23.45" customHeight="1" x14ac:dyDescent="0.25">
      <c r="A71" s="1"/>
      <c r="B71" s="1"/>
      <c r="C71" s="73"/>
      <c r="D71" s="70"/>
      <c r="E71" s="70"/>
      <c r="F71" s="71"/>
      <c r="G71" s="72"/>
      <c r="H71" s="66"/>
      <c r="I71" s="72"/>
      <c r="J71" s="72"/>
      <c r="K71" s="72"/>
      <c r="L71" s="72"/>
      <c r="M71" s="72"/>
      <c r="N71" s="72"/>
      <c r="O71" s="66"/>
      <c r="P71" s="1"/>
    </row>
    <row r="72" spans="1:16" ht="23.45" customHeight="1" x14ac:dyDescent="0.25">
      <c r="A72" s="1"/>
      <c r="B72" s="1"/>
      <c r="C72" s="73"/>
      <c r="D72" s="70"/>
      <c r="E72" s="70"/>
      <c r="F72" s="68"/>
      <c r="G72" s="72"/>
      <c r="H72" s="66"/>
      <c r="I72" s="72"/>
      <c r="J72" s="72"/>
      <c r="K72" s="72"/>
      <c r="L72" s="72"/>
      <c r="M72" s="72"/>
      <c r="N72" s="72"/>
      <c r="O72" s="66"/>
      <c r="P72" s="1"/>
    </row>
    <row r="73" spans="1:16" ht="23.45" customHeight="1" x14ac:dyDescent="0.25">
      <c r="A73" s="1"/>
      <c r="B73" s="1"/>
      <c r="C73" s="73"/>
      <c r="D73" s="70"/>
      <c r="E73" s="70"/>
      <c r="F73" s="71"/>
      <c r="G73" s="72"/>
      <c r="H73" s="66"/>
      <c r="I73" s="72"/>
      <c r="J73" s="72"/>
      <c r="K73" s="72"/>
      <c r="L73" s="72"/>
      <c r="M73" s="72"/>
      <c r="N73" s="72"/>
      <c r="O73" s="66"/>
      <c r="P73" s="1"/>
    </row>
    <row r="74" spans="1:16" ht="23.45" customHeight="1" x14ac:dyDescent="0.25">
      <c r="A74" s="1"/>
      <c r="B74" s="1"/>
      <c r="C74" s="73"/>
      <c r="D74" s="70"/>
      <c r="E74" s="70"/>
      <c r="F74" s="67"/>
      <c r="G74" s="72"/>
      <c r="H74" s="66"/>
      <c r="I74" s="72"/>
      <c r="J74" s="72"/>
      <c r="K74" s="72"/>
      <c r="L74" s="72"/>
      <c r="M74" s="72"/>
      <c r="N74" s="72"/>
      <c r="O74" s="66"/>
      <c r="P74" s="1"/>
    </row>
    <row r="75" spans="1:16" ht="23.45" customHeight="1" x14ac:dyDescent="0.25">
      <c r="A75" s="1"/>
      <c r="B75" s="1"/>
      <c r="C75" s="73"/>
      <c r="D75" s="70"/>
      <c r="E75" s="70"/>
      <c r="F75" s="71"/>
      <c r="G75" s="72"/>
      <c r="H75" s="66"/>
      <c r="I75" s="72"/>
      <c r="J75" s="72"/>
      <c r="K75" s="72"/>
      <c r="L75" s="72"/>
      <c r="M75" s="72"/>
      <c r="N75" s="72"/>
      <c r="O75" s="66"/>
      <c r="P75" s="1"/>
    </row>
    <row r="76" spans="1:16" ht="33" customHeight="1" x14ac:dyDescent="0.25">
      <c r="A76" s="1"/>
      <c r="B76" s="1"/>
      <c r="C76" s="73"/>
      <c r="D76" s="70"/>
      <c r="E76" s="70"/>
      <c r="F76" s="71"/>
      <c r="G76" s="72"/>
      <c r="H76" s="72"/>
      <c r="I76" s="66"/>
      <c r="J76" s="72"/>
      <c r="K76" s="72"/>
      <c r="L76" s="72"/>
      <c r="M76" s="72"/>
      <c r="N76" s="72"/>
      <c r="O76" s="66"/>
      <c r="P76" s="1"/>
    </row>
    <row r="77" spans="1:16" ht="20.100000000000001" customHeight="1" x14ac:dyDescent="0.25">
      <c r="A77" s="1"/>
      <c r="B77" s="1"/>
      <c r="C77" s="93"/>
      <c r="D77" s="70"/>
      <c r="E77" s="70"/>
      <c r="F77" s="71"/>
      <c r="G77" s="72"/>
      <c r="H77" s="72"/>
      <c r="I77" s="66"/>
      <c r="J77" s="72"/>
      <c r="K77" s="72"/>
      <c r="L77" s="72"/>
      <c r="M77" s="72"/>
      <c r="N77" s="72"/>
      <c r="O77" s="66"/>
      <c r="P77" s="1"/>
    </row>
    <row r="78" spans="1:16" ht="27.6" customHeight="1" x14ac:dyDescent="0.25">
      <c r="A78" s="1"/>
      <c r="B78" s="1"/>
      <c r="C78" s="73"/>
      <c r="D78" s="70"/>
      <c r="E78" s="70"/>
      <c r="F78" s="71"/>
      <c r="G78" s="72"/>
      <c r="H78" s="72"/>
      <c r="I78" s="72"/>
      <c r="J78" s="72"/>
      <c r="K78" s="72"/>
      <c r="L78" s="72"/>
      <c r="M78" s="72"/>
      <c r="N78" s="72"/>
      <c r="O78" s="66"/>
      <c r="P78" s="1"/>
    </row>
    <row r="79" spans="1:16" ht="22.15" customHeight="1" x14ac:dyDescent="0.25">
      <c r="A79" s="1"/>
      <c r="B79" s="1"/>
      <c r="C79" s="73"/>
      <c r="D79" s="70"/>
      <c r="E79" s="70"/>
      <c r="F79" s="71"/>
      <c r="G79" s="72"/>
      <c r="H79" s="66"/>
      <c r="I79" s="72"/>
      <c r="J79" s="72"/>
      <c r="K79" s="72"/>
      <c r="L79" s="72"/>
      <c r="M79" s="72"/>
      <c r="N79" s="72"/>
      <c r="O79" s="66"/>
      <c r="P79" s="1"/>
    </row>
    <row r="80" spans="1:16" ht="22.15" customHeight="1" x14ac:dyDescent="0.25">
      <c r="A80" s="1"/>
      <c r="B80" s="1"/>
      <c r="C80" s="73"/>
      <c r="D80" s="70"/>
      <c r="E80" s="70"/>
      <c r="F80" s="68"/>
      <c r="G80" s="72"/>
      <c r="H80" s="66"/>
      <c r="I80" s="72"/>
      <c r="J80" s="72"/>
      <c r="K80" s="72"/>
      <c r="L80" s="72"/>
      <c r="M80" s="72"/>
      <c r="N80" s="72"/>
      <c r="O80" s="66"/>
      <c r="P80" s="1"/>
    </row>
    <row r="81" spans="1:16" ht="22.15" customHeight="1" x14ac:dyDescent="0.25">
      <c r="A81" s="1"/>
      <c r="B81" s="1"/>
      <c r="C81" s="73"/>
      <c r="D81" s="70"/>
      <c r="E81" s="70"/>
      <c r="F81" s="67"/>
      <c r="G81" s="72"/>
      <c r="H81" s="66"/>
      <c r="I81" s="72"/>
      <c r="J81" s="72"/>
      <c r="K81" s="72"/>
      <c r="L81" s="72"/>
      <c r="M81" s="72"/>
      <c r="N81" s="72"/>
      <c r="O81" s="66"/>
      <c r="P81" s="1"/>
    </row>
    <row r="82" spans="1:16" ht="22.15" customHeight="1" x14ac:dyDescent="0.25">
      <c r="A82" s="1"/>
      <c r="B82" s="1"/>
      <c r="C82" s="93"/>
      <c r="D82" s="70"/>
      <c r="E82" s="70"/>
      <c r="F82" s="71"/>
      <c r="G82" s="72"/>
      <c r="H82" s="66"/>
      <c r="I82" s="66"/>
      <c r="J82" s="72"/>
      <c r="K82" s="72"/>
      <c r="L82" s="72"/>
      <c r="M82" s="72"/>
      <c r="N82" s="72"/>
      <c r="O82" s="66"/>
      <c r="P82" s="1"/>
    </row>
    <row r="83" spans="1:16" ht="28.9" customHeight="1" x14ac:dyDescent="0.25">
      <c r="A83" s="1"/>
      <c r="B83" s="1"/>
      <c r="C83" s="73"/>
      <c r="D83" s="70"/>
      <c r="E83" s="70"/>
      <c r="F83" s="71"/>
      <c r="G83" s="72"/>
      <c r="H83" s="72"/>
      <c r="I83" s="66"/>
      <c r="J83" s="72"/>
      <c r="K83" s="72"/>
      <c r="L83" s="72"/>
      <c r="M83" s="72"/>
      <c r="N83" s="72"/>
      <c r="O83" s="66"/>
      <c r="P83" s="1"/>
    </row>
    <row r="84" spans="1:16" ht="22.9" customHeight="1" x14ac:dyDescent="0.25">
      <c r="A84" s="1"/>
      <c r="B84" s="1"/>
      <c r="C84" s="73"/>
      <c r="D84" s="70"/>
      <c r="E84" s="70"/>
      <c r="F84" s="71"/>
      <c r="G84" s="72"/>
      <c r="H84" s="72"/>
      <c r="I84" s="66"/>
      <c r="J84" s="72"/>
      <c r="K84" s="72"/>
      <c r="L84" s="72"/>
      <c r="M84" s="72"/>
      <c r="N84" s="72"/>
      <c r="O84" s="72"/>
      <c r="P84" s="1"/>
    </row>
    <row r="85" spans="1:16" ht="23.45" customHeight="1" x14ac:dyDescent="0.25">
      <c r="A85" s="1"/>
      <c r="B85" s="1"/>
      <c r="C85" s="94"/>
      <c r="D85" s="65"/>
      <c r="E85" s="54"/>
      <c r="F85" s="69"/>
      <c r="G85" s="63"/>
      <c r="H85" s="57"/>
      <c r="I85" s="57"/>
      <c r="J85" s="57"/>
      <c r="K85" s="57"/>
      <c r="L85" s="57"/>
      <c r="M85" s="57"/>
      <c r="N85" s="57"/>
      <c r="O85" s="57"/>
      <c r="P85" s="1"/>
    </row>
    <row r="86" spans="1:16" ht="23.45" customHeight="1" x14ac:dyDescent="0.25">
      <c r="A86" s="1"/>
      <c r="B86" s="1"/>
      <c r="C86" s="94"/>
      <c r="D86" s="65"/>
      <c r="E86" s="54"/>
      <c r="F86" s="69"/>
      <c r="G86" s="63"/>
      <c r="H86" s="57"/>
      <c r="I86" s="57"/>
      <c r="J86" s="57"/>
      <c r="K86" s="57"/>
      <c r="L86" s="57"/>
      <c r="M86" s="57"/>
      <c r="N86" s="57"/>
      <c r="O86" s="57"/>
      <c r="P86" s="1"/>
    </row>
    <row r="87" spans="1:16" ht="20.100000000000001" customHeight="1" x14ac:dyDescent="0.25">
      <c r="A87" s="1"/>
      <c r="B87" s="1"/>
      <c r="C87" s="93"/>
      <c r="D87" s="70"/>
      <c r="E87" s="70"/>
      <c r="F87" s="71"/>
      <c r="G87" s="72"/>
      <c r="H87" s="72"/>
      <c r="I87" s="66"/>
      <c r="J87" s="72"/>
      <c r="K87" s="72"/>
      <c r="L87" s="72"/>
      <c r="M87" s="72"/>
      <c r="N87" s="72"/>
      <c r="O87" s="72"/>
      <c r="P87" s="1"/>
    </row>
    <row r="88" spans="1:16" ht="29.45" customHeight="1" x14ac:dyDescent="0.25">
      <c r="A88" s="1"/>
      <c r="B88" s="1"/>
      <c r="C88" s="73"/>
      <c r="D88" s="70"/>
      <c r="E88" s="70"/>
      <c r="F88" s="71"/>
      <c r="G88" s="72"/>
      <c r="H88" s="72"/>
      <c r="I88" s="66"/>
      <c r="J88" s="72"/>
      <c r="K88" s="72"/>
      <c r="L88" s="72"/>
      <c r="M88" s="72"/>
      <c r="N88" s="66"/>
      <c r="O88" s="72"/>
      <c r="P88" s="1"/>
    </row>
    <row r="89" spans="1:16" ht="23.45" customHeight="1" x14ac:dyDescent="0.25">
      <c r="A89" s="1"/>
      <c r="B89" s="1"/>
      <c r="C89" s="73"/>
      <c r="D89" s="70"/>
      <c r="E89" s="70"/>
      <c r="F89" s="71"/>
      <c r="G89" s="72"/>
      <c r="H89" s="72"/>
      <c r="I89" s="66"/>
      <c r="J89" s="72"/>
      <c r="K89" s="72"/>
      <c r="L89" s="72"/>
      <c r="M89" s="72"/>
      <c r="N89" s="72"/>
      <c r="O89" s="72"/>
      <c r="P89" s="1"/>
    </row>
    <row r="90" spans="1:16" ht="23.45" customHeight="1" x14ac:dyDescent="0.25">
      <c r="A90" s="1"/>
      <c r="B90" s="1"/>
      <c r="C90" s="93"/>
      <c r="D90" s="70"/>
      <c r="E90" s="70"/>
      <c r="F90" s="71"/>
      <c r="G90" s="72"/>
      <c r="H90" s="72"/>
      <c r="I90" s="66"/>
      <c r="J90" s="72"/>
      <c r="K90" s="72"/>
      <c r="L90" s="72"/>
      <c r="M90" s="72"/>
      <c r="N90" s="72"/>
      <c r="O90" s="72"/>
      <c r="P90" s="1"/>
    </row>
    <row r="91" spans="1:16" ht="32.450000000000003" customHeight="1" x14ac:dyDescent="0.25">
      <c r="A91" s="1"/>
      <c r="B91" s="1"/>
      <c r="C91" s="73"/>
      <c r="D91" s="70"/>
      <c r="E91" s="70"/>
      <c r="F91" s="71"/>
      <c r="G91" s="72"/>
      <c r="H91" s="72"/>
      <c r="I91" s="72"/>
      <c r="J91" s="72"/>
      <c r="K91" s="72"/>
      <c r="L91" s="72"/>
      <c r="M91" s="72"/>
      <c r="N91" s="72"/>
      <c r="O91" s="66"/>
      <c r="P91" s="1"/>
    </row>
    <row r="92" spans="1:16" ht="20.100000000000001" customHeight="1" x14ac:dyDescent="0.25">
      <c r="A92" s="1"/>
      <c r="B92" s="1"/>
      <c r="C92" s="73"/>
      <c r="D92" s="70"/>
      <c r="E92" s="70"/>
      <c r="F92" s="71"/>
      <c r="G92" s="72"/>
      <c r="H92" s="72"/>
      <c r="I92" s="72"/>
      <c r="J92" s="72"/>
      <c r="K92" s="72"/>
      <c r="L92" s="66"/>
      <c r="M92" s="72"/>
      <c r="N92" s="72"/>
      <c r="O92" s="72"/>
      <c r="P92" s="1"/>
    </row>
    <row r="93" spans="1:16" ht="20.100000000000001" customHeight="1" x14ac:dyDescent="0.25">
      <c r="A93" s="1"/>
      <c r="B93" s="1"/>
      <c r="C93" s="74"/>
      <c r="D93" s="75"/>
      <c r="E93" s="75"/>
      <c r="F93" s="75"/>
      <c r="G93" s="76"/>
      <c r="H93" s="77"/>
      <c r="I93" s="77"/>
      <c r="J93" s="77"/>
      <c r="K93" s="77"/>
      <c r="L93" s="77"/>
      <c r="M93" s="77"/>
      <c r="N93" s="77"/>
      <c r="O93" s="77"/>
      <c r="P93" s="78"/>
    </row>
    <row r="94" spans="1:16" ht="20.100000000000001" customHeight="1" x14ac:dyDescent="0.25">
      <c r="A94" s="1"/>
      <c r="B94" s="1"/>
      <c r="C94" s="79"/>
      <c r="D94" s="75"/>
      <c r="E94" s="75"/>
      <c r="F94" s="75"/>
      <c r="G94" s="78"/>
      <c r="H94" s="78"/>
      <c r="I94" s="78"/>
      <c r="J94" s="78"/>
      <c r="K94" s="78"/>
      <c r="L94" s="78"/>
      <c r="M94" s="78"/>
      <c r="N94" s="78"/>
      <c r="O94" s="78"/>
      <c r="P94" s="78"/>
    </row>
    <row r="95" spans="1:16" ht="20.100000000000001" customHeight="1" x14ac:dyDescent="0.25">
      <c r="A95" s="1"/>
      <c r="B95" s="1"/>
      <c r="C95" s="80"/>
      <c r="D95" s="75"/>
      <c r="E95" s="75"/>
      <c r="F95" s="75"/>
      <c r="G95" s="81"/>
      <c r="H95" s="81"/>
      <c r="I95" s="81"/>
      <c r="J95" s="82"/>
      <c r="K95" s="82"/>
      <c r="L95" s="82"/>
      <c r="M95" s="82"/>
      <c r="N95" s="82"/>
      <c r="O95" s="82"/>
      <c r="P95" s="82"/>
    </row>
    <row r="96" spans="1:16" s="86" customFormat="1" ht="20.100000000000001" customHeight="1" x14ac:dyDescent="0.25">
      <c r="A96" s="83"/>
      <c r="B96" s="83"/>
      <c r="C96" s="80"/>
      <c r="D96" s="84"/>
      <c r="E96" s="84"/>
      <c r="F96" s="84"/>
      <c r="G96" s="85"/>
      <c r="H96" s="85"/>
      <c r="I96" s="85"/>
      <c r="J96" s="85"/>
      <c r="K96" s="85"/>
      <c r="L96" s="85"/>
      <c r="M96" s="85"/>
      <c r="N96" s="85"/>
      <c r="O96" s="85"/>
      <c r="P96" s="85"/>
    </row>
    <row r="97" spans="1:16" x14ac:dyDescent="0.25">
      <c r="A97" s="1"/>
      <c r="B97" s="56"/>
      <c r="C97" s="5"/>
      <c r="D97" s="61"/>
      <c r="F97" s="88"/>
      <c r="G97" s="58"/>
      <c r="H97" s="1"/>
      <c r="I97" s="1"/>
      <c r="J97" s="1"/>
      <c r="K97" s="1"/>
      <c r="L97" s="1"/>
      <c r="M97" s="1"/>
      <c r="N97" s="1"/>
      <c r="O97" s="1"/>
      <c r="P97" s="1"/>
    </row>
    <row r="98" spans="1:16" ht="20.100000000000001" customHeight="1" x14ac:dyDescent="0.25">
      <c r="A98" s="1"/>
      <c r="B98" s="56"/>
      <c r="C98" s="5"/>
      <c r="D98" s="61"/>
      <c r="E98" s="62"/>
      <c r="F98" s="59"/>
      <c r="G98" s="58"/>
      <c r="H98" s="55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56"/>
      <c r="C99" s="5"/>
      <c r="D99" s="61"/>
      <c r="E99" s="62"/>
      <c r="F99" s="88"/>
      <c r="G99" s="58"/>
      <c r="H99" s="1"/>
      <c r="I99" s="1"/>
      <c r="J99" s="1"/>
      <c r="K99" s="1"/>
      <c r="L99" s="1"/>
      <c r="M99" s="1"/>
      <c r="N99" s="1"/>
      <c r="O99" s="1"/>
      <c r="P99" s="1"/>
    </row>
    <row r="100" spans="1:16" ht="20.100000000000001" customHeight="1" x14ac:dyDescent="0.25">
      <c r="A100" s="1"/>
      <c r="B100" s="1"/>
      <c r="C100" s="92"/>
      <c r="D100" s="61"/>
      <c r="E100" s="62"/>
      <c r="F100" s="59"/>
      <c r="G100" s="58"/>
      <c r="H100" s="55"/>
      <c r="I100" s="1"/>
      <c r="J100" s="1"/>
      <c r="K100" s="1"/>
      <c r="L100" s="1"/>
      <c r="M100" s="1"/>
      <c r="N100" s="1"/>
      <c r="O100" s="1"/>
      <c r="P100" s="1"/>
    </row>
    <row r="101" spans="1:16" ht="20.100000000000001" customHeight="1" x14ac:dyDescent="0.25">
      <c r="A101" s="1"/>
      <c r="B101" s="1"/>
      <c r="C101" s="92"/>
      <c r="D101" s="61"/>
      <c r="E101" s="62"/>
      <c r="F101" s="62"/>
      <c r="G101" s="1"/>
      <c r="H101" s="63"/>
      <c r="I101" s="1"/>
      <c r="J101" s="1"/>
      <c r="K101" s="1"/>
      <c r="L101" s="1"/>
      <c r="M101" s="1"/>
      <c r="N101" s="1"/>
      <c r="O101" s="1"/>
      <c r="P101" s="1"/>
    </row>
    <row r="102" spans="1:16" ht="20.100000000000001" customHeight="1" x14ac:dyDescent="0.25">
      <c r="A102" s="1"/>
      <c r="B102" s="1"/>
      <c r="C102" s="92"/>
      <c r="D102" s="61"/>
      <c r="E102" s="62"/>
      <c r="F102" s="62"/>
      <c r="G102" s="1"/>
      <c r="H102" s="63"/>
      <c r="I102" s="1"/>
      <c r="J102" s="1"/>
      <c r="K102" s="1"/>
      <c r="L102" s="1"/>
      <c r="M102" s="1"/>
      <c r="N102" s="1"/>
      <c r="O102" s="1"/>
      <c r="P102" s="1"/>
    </row>
    <row r="103" spans="1:16" ht="20.100000000000001" customHeight="1" x14ac:dyDescent="0.25">
      <c r="A103" s="1"/>
      <c r="B103" s="1"/>
      <c r="C103" s="92"/>
      <c r="D103" s="61"/>
      <c r="E103" s="62"/>
      <c r="F103" s="62"/>
      <c r="G103" s="1"/>
      <c r="H103" s="63"/>
      <c r="I103" s="1"/>
      <c r="J103" s="1"/>
      <c r="K103" s="1"/>
      <c r="L103" s="1"/>
      <c r="M103" s="1"/>
      <c r="N103" s="1"/>
      <c r="O103" s="1"/>
      <c r="P103" s="1"/>
    </row>
    <row r="104" spans="1:16" ht="20.100000000000001" customHeight="1" x14ac:dyDescent="0.25">
      <c r="A104" s="62"/>
      <c r="B104" s="62"/>
      <c r="C104" s="89"/>
      <c r="D104" s="61"/>
      <c r="E104" s="62"/>
      <c r="F104" s="60"/>
      <c r="G104" s="62"/>
      <c r="H104" s="62"/>
      <c r="I104" s="62"/>
      <c r="J104" s="62"/>
      <c r="K104" s="62"/>
      <c r="L104" s="62"/>
      <c r="M104" s="62"/>
      <c r="N104" s="62"/>
      <c r="O104" s="62"/>
      <c r="P104" s="62"/>
    </row>
    <row r="105" spans="1:16" ht="20.100000000000001" customHeight="1" x14ac:dyDescent="0.25">
      <c r="A105" s="62"/>
      <c r="B105" s="62"/>
      <c r="C105" s="89"/>
      <c r="D105" s="61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1:16" ht="20.100000000000001" customHeight="1" x14ac:dyDescent="0.25">
      <c r="A106" s="62"/>
      <c r="B106" s="62"/>
      <c r="C106" s="89"/>
      <c r="D106" s="61"/>
      <c r="E106" s="6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</row>
    <row r="107" spans="1:16" x14ac:dyDescent="0.25">
      <c r="A107" s="62"/>
      <c r="B107" s="62"/>
      <c r="C107" s="89"/>
      <c r="D107" s="61"/>
      <c r="E107" s="6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</row>
    <row r="108" spans="1:16" ht="20.100000000000001" customHeight="1" x14ac:dyDescent="0.25">
      <c r="A108" s="62"/>
      <c r="B108" s="62"/>
      <c r="C108" s="89"/>
      <c r="D108" s="61"/>
      <c r="E108" s="62"/>
      <c r="F108" s="62"/>
      <c r="G108" s="4"/>
      <c r="H108" s="4"/>
      <c r="I108" s="4"/>
      <c r="J108" s="4"/>
      <c r="K108" s="4"/>
      <c r="L108" s="4"/>
      <c r="M108" s="4"/>
      <c r="N108" s="4"/>
      <c r="O108" s="90"/>
      <c r="P108" s="62"/>
    </row>
    <row r="109" spans="1:16" ht="20.100000000000001" customHeight="1" x14ac:dyDescent="0.25">
      <c r="A109" s="62"/>
      <c r="B109" s="62"/>
      <c r="C109" s="89"/>
      <c r="D109" s="61"/>
      <c r="E109" s="6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62"/>
    </row>
    <row r="110" spans="1:16" ht="20.100000000000001" customHeight="1" x14ac:dyDescent="0.25">
      <c r="A110" s="1"/>
      <c r="B110" s="1"/>
      <c r="C110" s="92"/>
      <c r="D110" s="61"/>
      <c r="E110" s="62"/>
      <c r="F110" s="62"/>
      <c r="G110" s="1"/>
      <c r="H110" s="1"/>
      <c r="I110" s="1"/>
      <c r="J110" s="1"/>
      <c r="K110" s="1"/>
      <c r="L110" s="1"/>
      <c r="M110" s="1"/>
      <c r="N110" s="1"/>
      <c r="O110" s="91"/>
      <c r="P110" s="1"/>
    </row>
    <row r="111" spans="1:16" ht="20.100000000000001" customHeight="1" x14ac:dyDescent="0.25">
      <c r="A111" s="1"/>
      <c r="B111" s="1"/>
      <c r="C111" s="92"/>
      <c r="D111" s="61"/>
      <c r="E111" s="62"/>
      <c r="F111" s="62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0.100000000000001" customHeight="1" x14ac:dyDescent="0.25">
      <c r="A112" s="1"/>
      <c r="B112" s="1"/>
      <c r="C112" s="92"/>
      <c r="D112" s="61"/>
      <c r="E112" s="62"/>
      <c r="F112" s="62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20.100000000000001" customHeight="1" x14ac:dyDescent="0.25">
      <c r="A113" s="1"/>
      <c r="B113" s="1"/>
      <c r="C113" s="92"/>
      <c r="D113" s="61"/>
      <c r="E113" s="62"/>
      <c r="F113" s="62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20.100000000000001" customHeight="1" x14ac:dyDescent="0.25">
      <c r="A114" s="1"/>
      <c r="B114" s="1"/>
      <c r="C114" s="92"/>
      <c r="D114" s="61"/>
      <c r="E114" s="62"/>
      <c r="F114" s="62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20.100000000000001" customHeight="1" x14ac:dyDescent="0.25">
      <c r="A115" s="1"/>
      <c r="B115" s="1"/>
      <c r="C115" s="92"/>
      <c r="D115" s="61"/>
      <c r="E115" s="62"/>
      <c r="F115" s="62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20.100000000000001" customHeight="1" x14ac:dyDescent="0.25">
      <c r="A116" s="1"/>
      <c r="B116" s="1"/>
      <c r="C116" s="92"/>
      <c r="D116" s="61"/>
      <c r="E116" s="62"/>
      <c r="F116" s="62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20.100000000000001" customHeight="1" x14ac:dyDescent="0.25">
      <c r="A117" s="1"/>
      <c r="B117" s="1"/>
      <c r="C117" s="92"/>
      <c r="D117" s="61"/>
      <c r="E117" s="62"/>
      <c r="F117" s="62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20.100000000000001" customHeight="1" x14ac:dyDescent="0.25">
      <c r="A118" s="1"/>
      <c r="B118" s="1"/>
      <c r="C118" s="92"/>
      <c r="D118" s="61"/>
      <c r="E118" s="62"/>
      <c r="F118" s="62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20.100000000000001" customHeight="1" x14ac:dyDescent="0.25">
      <c r="A119" s="1"/>
      <c r="B119" s="1"/>
      <c r="C119" s="92"/>
      <c r="D119" s="61"/>
      <c r="E119" s="62"/>
      <c r="F119" s="62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0.100000000000001" customHeight="1" x14ac:dyDescent="0.25">
      <c r="A120" s="1"/>
      <c r="B120" s="1"/>
      <c r="C120" s="92"/>
      <c r="D120" s="61"/>
      <c r="E120" s="62"/>
      <c r="F120" s="62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20.100000000000001" customHeight="1" x14ac:dyDescent="0.25">
      <c r="A121" s="1"/>
      <c r="B121" s="1"/>
      <c r="C121" s="92"/>
      <c r="D121" s="61"/>
      <c r="E121" s="62"/>
      <c r="F121" s="62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20.100000000000001" customHeight="1" x14ac:dyDescent="0.25">
      <c r="A122" s="1"/>
      <c r="B122" s="1"/>
      <c r="C122" s="92"/>
      <c r="D122" s="61"/>
      <c r="E122" s="62"/>
      <c r="F122" s="62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20.100000000000001" customHeight="1" x14ac:dyDescent="0.25">
      <c r="A123" s="1"/>
      <c r="B123" s="1"/>
      <c r="C123" s="92"/>
      <c r="D123" s="61"/>
      <c r="E123" s="62"/>
      <c r="F123" s="62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20.100000000000001" customHeight="1" x14ac:dyDescent="0.25">
      <c r="A124" s="1"/>
      <c r="B124" s="1"/>
      <c r="C124" s="92"/>
      <c r="D124" s="61"/>
      <c r="E124" s="62"/>
      <c r="F124" s="62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20.100000000000001" customHeight="1" x14ac:dyDescent="0.25">
      <c r="A125" s="1"/>
      <c r="B125" s="1"/>
      <c r="C125" s="92"/>
      <c r="D125" s="61"/>
      <c r="E125" s="62"/>
      <c r="F125" s="62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20.100000000000001" customHeight="1" x14ac:dyDescent="0.25">
      <c r="A126" s="1"/>
      <c r="B126" s="1"/>
      <c r="C126" s="92"/>
      <c r="D126" s="61"/>
      <c r="E126" s="62"/>
      <c r="F126" s="62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20.100000000000001" customHeight="1" x14ac:dyDescent="0.25">
      <c r="A127" s="1"/>
      <c r="B127" s="1"/>
      <c r="C127" s="92"/>
      <c r="D127" s="61"/>
      <c r="E127" s="62"/>
      <c r="F127" s="62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20.100000000000001" customHeight="1" x14ac:dyDescent="0.25">
      <c r="A128" s="1"/>
      <c r="B128" s="1"/>
      <c r="C128" s="92"/>
      <c r="D128" s="61"/>
      <c r="E128" s="62"/>
      <c r="F128" s="62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20.100000000000001" customHeight="1" x14ac:dyDescent="0.25">
      <c r="A129" s="1"/>
      <c r="B129" s="1"/>
      <c r="C129" s="92"/>
      <c r="D129" s="61"/>
      <c r="E129" s="62"/>
      <c r="F129" s="62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20.100000000000001" customHeight="1" x14ac:dyDescent="0.25">
      <c r="A130" s="1"/>
      <c r="B130" s="1"/>
      <c r="C130" s="92"/>
      <c r="D130" s="61"/>
      <c r="E130" s="62"/>
      <c r="F130" s="62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20.100000000000001" customHeight="1" x14ac:dyDescent="0.25">
      <c r="A131" s="1"/>
      <c r="B131" s="1"/>
      <c r="C131" s="92"/>
      <c r="D131" s="61"/>
      <c r="E131" s="62"/>
      <c r="F131" s="62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20.100000000000001" customHeight="1" x14ac:dyDescent="0.25">
      <c r="A132" s="1"/>
      <c r="B132" s="1"/>
      <c r="C132" s="92"/>
      <c r="D132" s="61"/>
      <c r="E132" s="62"/>
      <c r="F132" s="62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0.100000000000001" customHeight="1" x14ac:dyDescent="0.25">
      <c r="A133" s="1"/>
      <c r="B133" s="1"/>
      <c r="C133" s="92"/>
      <c r="D133" s="61"/>
      <c r="E133" s="62"/>
      <c r="F133" s="62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20.100000000000001" customHeight="1" x14ac:dyDescent="0.25">
      <c r="A134" s="1"/>
      <c r="B134" s="1"/>
      <c r="C134" s="92"/>
      <c r="D134" s="61"/>
      <c r="E134" s="62"/>
      <c r="F134" s="62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20.100000000000001" customHeight="1" x14ac:dyDescent="0.25">
      <c r="A135" s="1"/>
      <c r="B135" s="1"/>
      <c r="C135" s="92"/>
      <c r="D135" s="61"/>
      <c r="E135" s="62"/>
      <c r="F135" s="62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20.100000000000001" customHeight="1" x14ac:dyDescent="0.25">
      <c r="A136" s="1"/>
      <c r="B136" s="1"/>
      <c r="C136" s="92"/>
      <c r="D136" s="61"/>
      <c r="E136" s="62"/>
      <c r="F136" s="62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20.100000000000001" customHeight="1" x14ac:dyDescent="0.25">
      <c r="A137" s="1"/>
      <c r="B137" s="1"/>
      <c r="C137" s="92"/>
      <c r="D137" s="61"/>
      <c r="E137" s="62"/>
      <c r="F137" s="62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20.100000000000001" customHeight="1" x14ac:dyDescent="0.25">
      <c r="A138" s="1"/>
      <c r="B138" s="1"/>
      <c r="C138" s="92"/>
      <c r="D138" s="61"/>
      <c r="E138" s="62"/>
      <c r="F138" s="62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20.100000000000001" customHeight="1" x14ac:dyDescent="0.25">
      <c r="A139" s="1"/>
      <c r="B139" s="1"/>
      <c r="C139" s="92"/>
      <c r="D139" s="61"/>
      <c r="E139" s="62"/>
      <c r="F139" s="62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20.100000000000001" customHeight="1" x14ac:dyDescent="0.25">
      <c r="A140" s="1"/>
      <c r="B140" s="1"/>
      <c r="C140" s="92"/>
      <c r="D140" s="61"/>
      <c r="E140" s="62"/>
      <c r="F140" s="62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20.100000000000001" customHeight="1" x14ac:dyDescent="0.25">
      <c r="A141" s="1"/>
      <c r="B141" s="1"/>
      <c r="C141" s="92"/>
      <c r="D141" s="61"/>
      <c r="E141" s="62"/>
      <c r="F141" s="62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20.100000000000001" customHeight="1" x14ac:dyDescent="0.25">
      <c r="A142" s="1"/>
      <c r="B142" s="1"/>
      <c r="C142" s="92"/>
      <c r="D142" s="61"/>
      <c r="E142" s="62"/>
      <c r="F142" s="62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20.100000000000001" customHeight="1" x14ac:dyDescent="0.25">
      <c r="A143" s="1"/>
      <c r="B143" s="1"/>
      <c r="C143" s="92"/>
      <c r="D143" s="61"/>
      <c r="E143" s="62"/>
      <c r="F143" s="62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20.100000000000001" customHeight="1" x14ac:dyDescent="0.25">
      <c r="A144" s="1"/>
      <c r="B144" s="1"/>
      <c r="C144" s="92"/>
      <c r="D144" s="61"/>
      <c r="E144" s="62"/>
      <c r="F144" s="62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0.100000000000001" customHeight="1" x14ac:dyDescent="0.25">
      <c r="A145" s="1"/>
      <c r="B145" s="1"/>
      <c r="C145" s="92"/>
      <c r="D145" s="61"/>
      <c r="E145" s="62"/>
      <c r="F145" s="62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20.100000000000001" customHeight="1" x14ac:dyDescent="0.25">
      <c r="A146" s="1"/>
      <c r="B146" s="1"/>
      <c r="C146" s="92"/>
      <c r="D146" s="61"/>
      <c r="E146" s="62"/>
      <c r="F146" s="62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20.100000000000001" customHeight="1" x14ac:dyDescent="0.25">
      <c r="A147" s="1"/>
      <c r="B147" s="1"/>
      <c r="C147" s="92"/>
      <c r="D147" s="61"/>
      <c r="E147" s="62"/>
      <c r="F147" s="62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20.100000000000001" customHeight="1" x14ac:dyDescent="0.25">
      <c r="A148" s="1"/>
      <c r="B148" s="1"/>
      <c r="C148" s="92"/>
      <c r="D148" s="61"/>
      <c r="E148" s="62"/>
      <c r="F148" s="62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20.100000000000001" customHeight="1" x14ac:dyDescent="0.25">
      <c r="A149" s="1"/>
      <c r="B149" s="1"/>
      <c r="C149" s="92"/>
      <c r="D149" s="61"/>
      <c r="E149" s="62"/>
      <c r="F149" s="62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20.100000000000001" customHeight="1" x14ac:dyDescent="0.25">
      <c r="A150" s="1"/>
      <c r="B150" s="1"/>
      <c r="C150" s="92"/>
      <c r="D150" s="61"/>
      <c r="E150" s="62"/>
      <c r="F150" s="62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20.100000000000001" customHeight="1" x14ac:dyDescent="0.25">
      <c r="A151" s="1"/>
      <c r="B151" s="1"/>
      <c r="C151" s="92"/>
      <c r="D151" s="61"/>
      <c r="E151" s="62"/>
      <c r="F151" s="62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20.100000000000001" customHeight="1" x14ac:dyDescent="0.25">
      <c r="A152" s="1"/>
      <c r="B152" s="1"/>
      <c r="C152" s="92"/>
      <c r="D152" s="61"/>
      <c r="E152" s="62"/>
      <c r="F152" s="62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20.100000000000001" customHeight="1" x14ac:dyDescent="0.25">
      <c r="A153" s="1"/>
      <c r="B153" s="1"/>
      <c r="C153" s="92"/>
      <c r="D153" s="61"/>
      <c r="E153" s="62"/>
      <c r="F153" s="62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20.100000000000001" customHeight="1" x14ac:dyDescent="0.25">
      <c r="A154" s="1"/>
      <c r="B154" s="1"/>
      <c r="C154" s="92"/>
      <c r="D154" s="61"/>
      <c r="E154" s="62"/>
      <c r="F154" s="62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0.100000000000001" customHeight="1" x14ac:dyDescent="0.25">
      <c r="A155" s="1"/>
      <c r="B155" s="1"/>
      <c r="C155" s="92"/>
      <c r="D155" s="61"/>
      <c r="E155" s="62"/>
      <c r="F155" s="62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20.100000000000001" customHeight="1" x14ac:dyDescent="0.25">
      <c r="A156" s="1"/>
      <c r="B156" s="1"/>
      <c r="C156" s="92"/>
      <c r="D156" s="61"/>
      <c r="E156" s="62"/>
      <c r="F156" s="62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20.100000000000001" customHeight="1" x14ac:dyDescent="0.25">
      <c r="A157" s="1"/>
      <c r="B157" s="1"/>
      <c r="C157" s="92"/>
      <c r="D157" s="61"/>
      <c r="E157" s="62"/>
      <c r="F157" s="62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20.100000000000001" customHeight="1" x14ac:dyDescent="0.25">
      <c r="A158" s="1"/>
      <c r="B158" s="1"/>
      <c r="C158" s="92"/>
      <c r="D158" s="61"/>
      <c r="E158" s="62"/>
      <c r="F158" s="62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20.100000000000001" customHeight="1" x14ac:dyDescent="0.25">
      <c r="A159" s="1"/>
      <c r="B159" s="1"/>
      <c r="C159" s="92"/>
      <c r="D159" s="61"/>
      <c r="E159" s="62"/>
      <c r="F159" s="62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20.100000000000001" customHeight="1" x14ac:dyDescent="0.25">
      <c r="A160" s="1"/>
      <c r="B160" s="1"/>
      <c r="C160" s="92"/>
      <c r="D160" s="61"/>
      <c r="E160" s="62"/>
      <c r="F160" s="62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20.100000000000001" customHeight="1" x14ac:dyDescent="0.25">
      <c r="A161" s="1"/>
      <c r="B161" s="1"/>
      <c r="C161" s="92"/>
      <c r="D161" s="61"/>
      <c r="E161" s="62"/>
      <c r="F161" s="62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20.100000000000001" customHeight="1" x14ac:dyDescent="0.25">
      <c r="A162" s="1"/>
      <c r="B162" s="1"/>
      <c r="C162" s="92"/>
      <c r="D162" s="61"/>
      <c r="E162" s="62"/>
      <c r="F162" s="62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20.100000000000001" customHeight="1" x14ac:dyDescent="0.25">
      <c r="A163" s="1"/>
      <c r="B163" s="1"/>
      <c r="C163" s="92"/>
      <c r="D163" s="61"/>
      <c r="E163" s="62"/>
      <c r="F163" s="62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0.100000000000001" customHeight="1" x14ac:dyDescent="0.25">
      <c r="A164" s="1"/>
      <c r="B164" s="1"/>
      <c r="C164" s="92"/>
      <c r="D164" s="61"/>
      <c r="E164" s="62"/>
      <c r="F164" s="62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20.100000000000001" customHeight="1" x14ac:dyDescent="0.25">
      <c r="A165" s="1"/>
      <c r="B165" s="1"/>
      <c r="C165" s="92"/>
      <c r="D165" s="61"/>
      <c r="E165" s="62"/>
      <c r="F165" s="6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20.100000000000001" customHeight="1" x14ac:dyDescent="0.25">
      <c r="A166" s="1"/>
      <c r="B166" s="1"/>
      <c r="C166" s="92"/>
      <c r="D166" s="61"/>
      <c r="E166" s="62"/>
      <c r="F166" s="62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20.100000000000001" customHeight="1" x14ac:dyDescent="0.25">
      <c r="A167" s="1"/>
      <c r="B167" s="1"/>
      <c r="C167" s="92"/>
      <c r="D167" s="61"/>
      <c r="E167" s="62"/>
      <c r="F167" s="62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20.100000000000001" customHeight="1" x14ac:dyDescent="0.25">
      <c r="A168" s="1"/>
      <c r="B168" s="1"/>
      <c r="C168" s="92"/>
      <c r="D168" s="61"/>
      <c r="E168" s="62"/>
      <c r="F168" s="62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20.100000000000001" customHeight="1" x14ac:dyDescent="0.25">
      <c r="A169" s="1"/>
      <c r="B169" s="1"/>
      <c r="C169" s="92"/>
      <c r="D169" s="61"/>
      <c r="E169" s="62"/>
      <c r="F169" s="62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20.100000000000001" customHeight="1" x14ac:dyDescent="0.25">
      <c r="A170" s="1"/>
      <c r="B170" s="1"/>
      <c r="C170" s="92"/>
      <c r="D170" s="61"/>
      <c r="E170" s="62"/>
      <c r="F170" s="62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20.100000000000001" customHeight="1" x14ac:dyDescent="0.25">
      <c r="A171" s="1"/>
      <c r="B171" s="1"/>
      <c r="C171" s="92"/>
      <c r="D171" s="61"/>
      <c r="E171" s="62"/>
      <c r="F171" s="62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20.100000000000001" customHeight="1" x14ac:dyDescent="0.25">
      <c r="A172" s="1"/>
      <c r="B172" s="1"/>
      <c r="C172" s="92"/>
      <c r="D172" s="61"/>
      <c r="E172" s="62"/>
      <c r="F172" s="62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20.100000000000001" customHeight="1" x14ac:dyDescent="0.25">
      <c r="A173" s="1"/>
      <c r="B173" s="1"/>
      <c r="C173" s="92"/>
      <c r="D173" s="61"/>
      <c r="E173" s="62"/>
      <c r="F173" s="62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20.100000000000001" customHeight="1" x14ac:dyDescent="0.25">
      <c r="A174" s="1"/>
      <c r="B174" s="1"/>
      <c r="C174" s="92"/>
      <c r="D174" s="61"/>
      <c r="E174" s="62"/>
      <c r="F174" s="62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0.100000000000001" customHeight="1" x14ac:dyDescent="0.25">
      <c r="A175" s="1"/>
      <c r="B175" s="1"/>
      <c r="C175" s="92"/>
      <c r="D175" s="61"/>
      <c r="E175" s="62"/>
      <c r="F175" s="62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20.100000000000001" customHeight="1" x14ac:dyDescent="0.25">
      <c r="A176" s="1"/>
      <c r="B176" s="1"/>
      <c r="C176" s="92"/>
      <c r="D176" s="61"/>
      <c r="E176" s="62"/>
      <c r="F176" s="62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20.100000000000001" customHeight="1" x14ac:dyDescent="0.25">
      <c r="A177" s="1"/>
      <c r="B177" s="1"/>
      <c r="C177" s="92"/>
      <c r="D177" s="61"/>
      <c r="E177" s="62"/>
      <c r="F177" s="62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0.100000000000001" customHeight="1" x14ac:dyDescent="0.25">
      <c r="A178" s="1"/>
      <c r="B178" s="1"/>
      <c r="C178" s="92"/>
      <c r="D178" s="61"/>
      <c r="E178" s="62"/>
      <c r="F178" s="62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0.100000000000001" customHeight="1" x14ac:dyDescent="0.25">
      <c r="A179" s="1"/>
      <c r="B179" s="1"/>
      <c r="C179" s="92"/>
      <c r="D179" s="61"/>
      <c r="E179" s="62"/>
      <c r="F179" s="62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20.100000000000001" customHeight="1" x14ac:dyDescent="0.25">
      <c r="A180" s="1"/>
      <c r="B180" s="1"/>
      <c r="C180" s="92"/>
      <c r="D180" s="61"/>
      <c r="E180" s="62"/>
      <c r="F180" s="62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20.100000000000001" customHeight="1" x14ac:dyDescent="0.25">
      <c r="A181" s="1"/>
      <c r="B181" s="1"/>
      <c r="C181" s="92"/>
      <c r="D181" s="61"/>
      <c r="E181" s="62"/>
      <c r="F181" s="62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20.100000000000001" customHeight="1" x14ac:dyDescent="0.25">
      <c r="A182" s="1"/>
      <c r="B182" s="1"/>
      <c r="C182" s="92"/>
      <c r="D182" s="61"/>
      <c r="E182" s="62"/>
      <c r="F182" s="62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20.100000000000001" customHeight="1" x14ac:dyDescent="0.25">
      <c r="A183" s="1"/>
      <c r="B183" s="1"/>
      <c r="C183" s="92"/>
      <c r="D183" s="61"/>
      <c r="E183" s="62"/>
      <c r="F183" s="62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20.100000000000001" customHeight="1" x14ac:dyDescent="0.25">
      <c r="A184" s="1"/>
      <c r="B184" s="1"/>
      <c r="C184" s="92"/>
      <c r="D184" s="61"/>
      <c r="E184" s="62"/>
      <c r="F184" s="62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0.100000000000001" customHeight="1" x14ac:dyDescent="0.25">
      <c r="A185" s="1"/>
      <c r="B185" s="1"/>
      <c r="C185" s="92"/>
      <c r="D185" s="61"/>
      <c r="E185" s="62"/>
      <c r="F185" s="62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20.100000000000001" customHeight="1" x14ac:dyDescent="0.25">
      <c r="A186" s="1"/>
      <c r="B186" s="1"/>
      <c r="C186" s="92"/>
      <c r="D186" s="61"/>
      <c r="E186" s="62"/>
      <c r="F186" s="62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20.100000000000001" customHeight="1" x14ac:dyDescent="0.25">
      <c r="A187" s="1"/>
      <c r="B187" s="1"/>
      <c r="C187" s="92"/>
      <c r="D187" s="61"/>
      <c r="E187" s="62"/>
      <c r="F187" s="62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20.100000000000001" customHeight="1" x14ac:dyDescent="0.25">
      <c r="A188" s="1"/>
      <c r="B188" s="1"/>
      <c r="C188" s="92"/>
      <c r="D188" s="61"/>
      <c r="E188" s="62"/>
      <c r="F188" s="62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20.100000000000001" customHeight="1" x14ac:dyDescent="0.25">
      <c r="A189" s="1"/>
      <c r="B189" s="1"/>
      <c r="C189" s="92"/>
      <c r="D189" s="61"/>
      <c r="E189" s="62"/>
      <c r="F189" s="62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20.100000000000001" customHeight="1" x14ac:dyDescent="0.25">
      <c r="A190" s="1"/>
      <c r="B190" s="1"/>
      <c r="C190" s="92"/>
      <c r="D190" s="61"/>
      <c r="E190" s="62"/>
      <c r="F190" s="62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20.100000000000001" customHeight="1" x14ac:dyDescent="0.25">
      <c r="A191" s="1"/>
      <c r="B191" s="1"/>
      <c r="C191" s="92"/>
      <c r="D191" s="61"/>
      <c r="E191" s="62"/>
      <c r="F191" s="62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20.100000000000001" customHeight="1" x14ac:dyDescent="0.25">
      <c r="A192" s="1"/>
      <c r="B192" s="1"/>
      <c r="C192" s="92"/>
      <c r="D192" s="61"/>
      <c r="E192" s="62"/>
      <c r="F192" s="62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20.100000000000001" customHeight="1" x14ac:dyDescent="0.25">
      <c r="A193" s="1"/>
      <c r="B193" s="1"/>
      <c r="C193" s="92"/>
      <c r="D193" s="61"/>
      <c r="E193" s="62"/>
      <c r="F193" s="62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20.100000000000001" customHeight="1" x14ac:dyDescent="0.25">
      <c r="A194" s="1"/>
      <c r="B194" s="1"/>
      <c r="C194" s="92"/>
      <c r="D194" s="61"/>
      <c r="E194" s="62"/>
      <c r="F194" s="62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20.100000000000001" customHeight="1" x14ac:dyDescent="0.25">
      <c r="A195" s="1"/>
      <c r="B195" s="1"/>
      <c r="C195" s="92"/>
      <c r="D195" s="61"/>
      <c r="E195" s="62"/>
      <c r="F195" s="62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20.100000000000001" customHeight="1" x14ac:dyDescent="0.25">
      <c r="A196" s="1"/>
      <c r="B196" s="1"/>
      <c r="C196" s="92"/>
      <c r="D196" s="61"/>
      <c r="E196" s="62"/>
      <c r="F196" s="62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0.100000000000001" customHeight="1" x14ac:dyDescent="0.25">
      <c r="A197" s="1"/>
      <c r="B197" s="1"/>
      <c r="C197" s="92"/>
      <c r="D197" s="61"/>
      <c r="E197" s="62"/>
      <c r="F197" s="62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20.100000000000001" customHeight="1" x14ac:dyDescent="0.25">
      <c r="A198" s="1"/>
      <c r="B198" s="1"/>
      <c r="C198" s="92"/>
      <c r="D198" s="61"/>
      <c r="E198" s="62"/>
      <c r="F198" s="62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20.100000000000001" customHeight="1" x14ac:dyDescent="0.25">
      <c r="A199" s="1"/>
      <c r="B199" s="1"/>
      <c r="C199" s="92"/>
      <c r="D199" s="61"/>
      <c r="E199" s="62"/>
      <c r="F199" s="62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20.100000000000001" customHeight="1" x14ac:dyDescent="0.25">
      <c r="A200" s="1"/>
      <c r="B200" s="1"/>
      <c r="C200" s="92"/>
      <c r="D200" s="61"/>
      <c r="E200" s="62"/>
      <c r="F200" s="62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20.100000000000001" customHeight="1" x14ac:dyDescent="0.25">
      <c r="A201" s="1"/>
      <c r="B201" s="1"/>
      <c r="C201" s="92"/>
      <c r="D201" s="61"/>
      <c r="E201" s="62"/>
      <c r="F201" s="62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20.100000000000001" customHeight="1" x14ac:dyDescent="0.25">
      <c r="A202" s="1"/>
      <c r="B202" s="1"/>
      <c r="C202" s="92"/>
      <c r="D202" s="61"/>
      <c r="E202" s="62"/>
      <c r="F202" s="62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20.100000000000001" customHeight="1" x14ac:dyDescent="0.25">
      <c r="A203" s="1"/>
      <c r="B203" s="1"/>
      <c r="C203" s="92"/>
      <c r="D203" s="61"/>
      <c r="E203" s="62"/>
      <c r="F203" s="62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20.100000000000001" customHeight="1" x14ac:dyDescent="0.25">
      <c r="A204" s="1"/>
      <c r="B204" s="1"/>
      <c r="C204" s="92"/>
      <c r="D204" s="61"/>
      <c r="E204" s="62"/>
      <c r="F204" s="62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20.100000000000001" customHeight="1" x14ac:dyDescent="0.25">
      <c r="A205" s="1"/>
      <c r="B205" s="1"/>
      <c r="C205" s="92"/>
      <c r="D205" s="61"/>
      <c r="E205" s="62"/>
      <c r="F205" s="62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20.100000000000001" customHeight="1" x14ac:dyDescent="0.25">
      <c r="A206" s="1"/>
      <c r="B206" s="1"/>
      <c r="C206" s="92"/>
      <c r="D206" s="61"/>
      <c r="E206" s="62"/>
      <c r="F206" s="62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20.100000000000001" customHeight="1" x14ac:dyDescent="0.25">
      <c r="A207" s="1"/>
      <c r="B207" s="1"/>
      <c r="C207" s="92"/>
      <c r="D207" s="61"/>
      <c r="E207" s="62"/>
      <c r="F207" s="62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0.100000000000001" customHeight="1" x14ac:dyDescent="0.25">
      <c r="A208" s="1"/>
      <c r="B208" s="1"/>
      <c r="C208" s="92"/>
      <c r="D208" s="61"/>
      <c r="E208" s="62"/>
      <c r="F208" s="62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20.100000000000001" customHeight="1" x14ac:dyDescent="0.25">
      <c r="A209" s="1"/>
      <c r="B209" s="1"/>
      <c r="C209" s="92"/>
      <c r="D209" s="61"/>
      <c r="E209" s="62"/>
      <c r="F209" s="62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20.100000000000001" customHeight="1" x14ac:dyDescent="0.25">
      <c r="A210" s="1"/>
      <c r="B210" s="1"/>
      <c r="C210" s="92"/>
      <c r="D210" s="61"/>
      <c r="E210" s="62"/>
      <c r="F210" s="62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20.100000000000001" customHeight="1" x14ac:dyDescent="0.25">
      <c r="A211" s="1"/>
      <c r="B211" s="1"/>
      <c r="C211" s="92"/>
      <c r="D211" s="61"/>
      <c r="E211" s="62"/>
      <c r="F211" s="62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20.100000000000001" customHeight="1" x14ac:dyDescent="0.25">
      <c r="A212" s="1"/>
      <c r="B212" s="1"/>
      <c r="C212" s="92"/>
      <c r="D212" s="61"/>
      <c r="E212" s="62"/>
      <c r="F212" s="62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20.100000000000001" customHeight="1" x14ac:dyDescent="0.25">
      <c r="A213" s="1"/>
      <c r="B213" s="1"/>
      <c r="C213" s="92"/>
      <c r="D213" s="61"/>
      <c r="E213" s="62"/>
      <c r="F213" s="62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20.100000000000001" customHeight="1" x14ac:dyDescent="0.25">
      <c r="A214" s="1"/>
      <c r="B214" s="1"/>
      <c r="C214" s="92"/>
      <c r="D214" s="61"/>
      <c r="E214" s="62"/>
      <c r="F214" s="62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20.100000000000001" customHeight="1" x14ac:dyDescent="0.25">
      <c r="A215" s="1"/>
      <c r="B215" s="1"/>
      <c r="C215" s="92"/>
      <c r="D215" s="61"/>
      <c r="E215" s="62"/>
      <c r="F215" s="62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20.100000000000001" customHeight="1" x14ac:dyDescent="0.25">
      <c r="A216" s="1"/>
      <c r="B216" s="1"/>
      <c r="C216" s="92"/>
      <c r="D216" s="61"/>
      <c r="E216" s="62"/>
      <c r="F216" s="62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20.100000000000001" customHeight="1" x14ac:dyDescent="0.25">
      <c r="A217" s="1"/>
      <c r="B217" s="1"/>
      <c r="C217" s="92"/>
      <c r="D217" s="61"/>
      <c r="E217" s="62"/>
      <c r="F217" s="62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20.100000000000001" customHeight="1" x14ac:dyDescent="0.25">
      <c r="A218" s="1"/>
      <c r="B218" s="1"/>
      <c r="C218" s="92"/>
      <c r="D218" s="61"/>
      <c r="E218" s="62"/>
      <c r="F218" s="62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0.100000000000001" customHeight="1" x14ac:dyDescent="0.25">
      <c r="A219" s="1"/>
      <c r="B219" s="1"/>
      <c r="C219" s="92"/>
      <c r="D219" s="61"/>
      <c r="E219" s="62"/>
      <c r="F219" s="62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20.100000000000001" customHeight="1" x14ac:dyDescent="0.25">
      <c r="A220" s="1"/>
      <c r="B220" s="1"/>
      <c r="C220" s="92"/>
      <c r="D220" s="61"/>
      <c r="E220" s="62"/>
      <c r="F220" s="62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20.100000000000001" customHeight="1" x14ac:dyDescent="0.25">
      <c r="A221" s="1"/>
      <c r="B221" s="1"/>
      <c r="C221" s="92"/>
      <c r="D221" s="61"/>
      <c r="E221" s="62"/>
      <c r="F221" s="62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20.100000000000001" customHeight="1" x14ac:dyDescent="0.25">
      <c r="A222" s="1"/>
      <c r="B222" s="1"/>
      <c r="C222" s="92"/>
      <c r="D222" s="61"/>
      <c r="E222" s="62"/>
      <c r="F222" s="62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20.100000000000001" customHeight="1" x14ac:dyDescent="0.25">
      <c r="A223" s="1"/>
      <c r="B223" s="1"/>
      <c r="C223" s="92"/>
      <c r="D223" s="61"/>
      <c r="E223" s="62"/>
      <c r="F223" s="62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20.100000000000001" customHeight="1" x14ac:dyDescent="0.25">
      <c r="A224" s="1"/>
      <c r="B224" s="1"/>
      <c r="C224" s="92"/>
      <c r="D224" s="61"/>
      <c r="E224" s="62"/>
      <c r="F224" s="62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20.100000000000001" customHeight="1" x14ac:dyDescent="0.25">
      <c r="A225" s="1"/>
      <c r="B225" s="1"/>
      <c r="C225" s="92"/>
      <c r="D225" s="61"/>
      <c r="E225" s="62"/>
      <c r="F225" s="62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20.100000000000001" customHeight="1" x14ac:dyDescent="0.25">
      <c r="A226" s="1"/>
      <c r="B226" s="1"/>
      <c r="C226" s="92"/>
      <c r="D226" s="61"/>
      <c r="E226" s="62"/>
      <c r="F226" s="62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20.100000000000001" customHeight="1" x14ac:dyDescent="0.25">
      <c r="A227" s="1"/>
      <c r="B227" s="1"/>
      <c r="C227" s="92"/>
      <c r="D227" s="61"/>
      <c r="E227" s="62"/>
      <c r="F227" s="62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20.100000000000001" customHeight="1" x14ac:dyDescent="0.25">
      <c r="A228" s="1"/>
      <c r="B228" s="1"/>
      <c r="C228" s="92"/>
      <c r="D228" s="61"/>
      <c r="E228" s="62"/>
      <c r="F228" s="62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0.100000000000001" customHeight="1" x14ac:dyDescent="0.25">
      <c r="A229" s="1"/>
      <c r="B229" s="1"/>
      <c r="C229" s="92"/>
      <c r="D229" s="61"/>
      <c r="E229" s="62"/>
      <c r="F229" s="62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20.100000000000001" customHeight="1" x14ac:dyDescent="0.25">
      <c r="A230" s="1"/>
      <c r="B230" s="1"/>
      <c r="C230" s="92"/>
      <c r="D230" s="61"/>
      <c r="E230" s="62"/>
      <c r="F230" s="62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20.100000000000001" customHeight="1" x14ac:dyDescent="0.25">
      <c r="A231" s="1"/>
      <c r="B231" s="1"/>
      <c r="C231" s="92"/>
      <c r="D231" s="61"/>
      <c r="E231" s="62"/>
      <c r="F231" s="62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20.100000000000001" customHeight="1" x14ac:dyDescent="0.25">
      <c r="A232" s="1"/>
      <c r="C232" s="92"/>
      <c r="D232" s="61"/>
      <c r="E232" s="62"/>
      <c r="F232" s="62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20.100000000000001" customHeight="1" x14ac:dyDescent="0.25"/>
    <row r="234" spans="1:16" ht="20.100000000000001" customHeight="1" x14ac:dyDescent="0.25"/>
    <row r="235" spans="1:16" ht="20.100000000000001" customHeight="1" x14ac:dyDescent="0.25"/>
    <row r="236" spans="1:16" ht="20.100000000000001" customHeight="1" x14ac:dyDescent="0.25"/>
  </sheetData>
  <mergeCells count="12">
    <mergeCell ref="C3:P3"/>
    <mergeCell ref="C4:P4"/>
    <mergeCell ref="C5:P5"/>
    <mergeCell ref="C6:P6"/>
    <mergeCell ref="A1:B1"/>
    <mergeCell ref="A2:B2"/>
    <mergeCell ref="A3:B3"/>
    <mergeCell ref="A4:B4"/>
    <mergeCell ref="A5:B5"/>
    <mergeCell ref="A6:B6"/>
    <mergeCell ref="C1:P1"/>
    <mergeCell ref="C2:P2"/>
  </mergeCells>
  <conditionalFormatting sqref="C93:C94">
    <cfRule type="cellIs" dxfId="45" priority="56" operator="equal">
      <formula>0</formula>
    </cfRule>
  </conditionalFormatting>
  <conditionalFormatting sqref="A104:E109 G104:M105 F106:L106 P46:XFD51 C82:H84 C80:E81 G80:H81 C63:H63 C65:H66 C64:E64 G64:H64 C71:E75 G71:H75 A67:B68 P67:XFD68 P85:XFD86 C76:H79 A85:B86 F97:G100 E98:E1048576 F101:H105 A1:O6 C69:H70 A69:D84 I69:XFD84 C87:F92 A87:D1048576 O87:XFD106 I87:N105 E87:H96 G93:O93 G96:O96 Q107:XFD107 F108:XFD1048576 P54:XFD62 C26:O26 B25 A22:O24 A20:A21 C20:O20 B19 I63:XFD66 A63:D66 A7:F7 P1:XFD44 A8:O9 A60:A61 B59 D21:O21 D27:O27 A29:O33 A26:A28 C28:O28 B27 A34:A36 C34:O36 B35:C35 A42 C42:O42 A37:O41 A49:O52 A48 C48:O48 A43:O47 A57:O57 A56 C56:O56 B55">
    <cfRule type="cellIs" dxfId="44" priority="52" operator="between">
      <formula>0</formula>
      <formula>0</formula>
    </cfRule>
  </conditionalFormatting>
  <conditionalFormatting sqref="M106 M108:M109">
    <cfRule type="cellIs" dxfId="43" priority="46" operator="between">
      <formula>0</formula>
      <formula>0</formula>
    </cfRule>
  </conditionalFormatting>
  <conditionalFormatting sqref="N106 N108:N109">
    <cfRule type="cellIs" dxfId="42" priority="45" operator="between">
      <formula>0</formula>
      <formula>0</formula>
    </cfRule>
  </conditionalFormatting>
  <conditionalFormatting sqref="P45:XFD45">
    <cfRule type="cellIs" dxfId="41" priority="41" operator="between">
      <formula>0</formula>
      <formula>0</formula>
    </cfRule>
  </conditionalFormatting>
  <conditionalFormatting sqref="F80:F81">
    <cfRule type="cellIs" dxfId="40" priority="35" operator="between">
      <formula>0</formula>
      <formula>0</formula>
    </cfRule>
  </conditionalFormatting>
  <conditionalFormatting sqref="F64">
    <cfRule type="cellIs" dxfId="39" priority="32" operator="between">
      <formula>0</formula>
      <formula>0</formula>
    </cfRule>
  </conditionalFormatting>
  <conditionalFormatting sqref="F71">
    <cfRule type="cellIs" dxfId="38" priority="31" operator="between">
      <formula>0</formula>
      <formula>0</formula>
    </cfRule>
  </conditionalFormatting>
  <conditionalFormatting sqref="F72">
    <cfRule type="cellIs" dxfId="37" priority="30" operator="between">
      <formula>0</formula>
      <formula>0</formula>
    </cfRule>
  </conditionalFormatting>
  <conditionalFormatting sqref="F73 F75">
    <cfRule type="cellIs" dxfId="36" priority="29" operator="between">
      <formula>0</formula>
      <formula>0</formula>
    </cfRule>
  </conditionalFormatting>
  <conditionalFormatting sqref="F74">
    <cfRule type="cellIs" dxfId="35" priority="28" operator="between">
      <formula>0</formula>
      <formula>0</formula>
    </cfRule>
  </conditionalFormatting>
  <conditionalFormatting sqref="C67:O68">
    <cfRule type="cellIs" dxfId="34" priority="27" operator="between">
      <formula>0</formula>
      <formula>0</formula>
    </cfRule>
  </conditionalFormatting>
  <conditionalFormatting sqref="C85:O86">
    <cfRule type="cellIs" dxfId="33" priority="26" operator="between">
      <formula>0</formula>
      <formula>0</formula>
    </cfRule>
  </conditionalFormatting>
  <conditionalFormatting sqref="H97:H100">
    <cfRule type="cellIs" dxfId="32" priority="25" operator="between">
      <formula>0</formula>
      <formula>0</formula>
    </cfRule>
  </conditionalFormatting>
  <conditionalFormatting sqref="P52:XFD53">
    <cfRule type="cellIs" dxfId="31" priority="24" operator="between">
      <formula>0</formula>
      <formula>0</formula>
    </cfRule>
  </conditionalFormatting>
  <conditionalFormatting sqref="F107:L107 O107:P107">
    <cfRule type="cellIs" dxfId="30" priority="22" operator="between">
      <formula>0</formula>
      <formula>0</formula>
    </cfRule>
  </conditionalFormatting>
  <conditionalFormatting sqref="M107">
    <cfRule type="cellIs" dxfId="29" priority="21" operator="between">
      <formula>0</formula>
      <formula>0</formula>
    </cfRule>
  </conditionalFormatting>
  <conditionalFormatting sqref="N107">
    <cfRule type="cellIs" dxfId="28" priority="20" operator="between">
      <formula>0</formula>
      <formula>0</formula>
    </cfRule>
  </conditionalFormatting>
  <conditionalFormatting sqref="A11:O14 A17:O18 A58:B58 G58:O61 A62:O62 A25 C25:O25 A19 C19:O19 A59">
    <cfRule type="cellIs" dxfId="27" priority="18" operator="between">
      <formula>0</formula>
      <formula>0</formula>
    </cfRule>
  </conditionalFormatting>
  <conditionalFormatting sqref="A53:O53 A54:E54 G54:O55 A55 C55:E55">
    <cfRule type="cellIs" dxfId="26" priority="17" operator="between">
      <formula>0</formula>
      <formula>0</formula>
    </cfRule>
  </conditionalFormatting>
  <conditionalFormatting sqref="A10:O10">
    <cfRule type="cellIs" dxfId="25" priority="16" operator="between">
      <formula>0</formula>
      <formula>0</formula>
    </cfRule>
  </conditionalFormatting>
  <conditionalFormatting sqref="A15:O15">
    <cfRule type="cellIs" dxfId="24" priority="15" operator="between">
      <formula>0</formula>
      <formula>0</formula>
    </cfRule>
  </conditionalFormatting>
  <conditionalFormatting sqref="A16:O16">
    <cfRule type="cellIs" dxfId="23" priority="14" operator="between">
      <formula>0</formula>
      <formula>0</formula>
    </cfRule>
  </conditionalFormatting>
  <conditionalFormatting sqref="F54:F55">
    <cfRule type="cellIs" dxfId="22" priority="13" operator="between">
      <formula>0</formula>
      <formula>0</formula>
    </cfRule>
  </conditionalFormatting>
  <conditionalFormatting sqref="C60:F60 D61:F61">
    <cfRule type="cellIs" dxfId="21" priority="12" operator="between">
      <formula>0</formula>
      <formula>0</formula>
    </cfRule>
  </conditionalFormatting>
  <conditionalFormatting sqref="C58:E58 D59:E59">
    <cfRule type="cellIs" dxfId="20" priority="11" operator="between">
      <formula>0</formula>
      <formula>0</formula>
    </cfRule>
  </conditionalFormatting>
  <conditionalFormatting sqref="F58:F59">
    <cfRule type="cellIs" dxfId="19" priority="10" operator="between">
      <formula>0</formula>
      <formula>0</formula>
    </cfRule>
  </conditionalFormatting>
  <conditionalFormatting sqref="G7:O7">
    <cfRule type="cellIs" dxfId="18" priority="7" operator="between">
      <formula>0</formula>
      <formula>0</formula>
    </cfRule>
  </conditionalFormatting>
  <conditionalFormatting sqref="C59">
    <cfRule type="cellIs" dxfId="17" priority="6" operator="between">
      <formula>0</formula>
      <formula>0</formula>
    </cfRule>
  </conditionalFormatting>
  <conditionalFormatting sqref="B61">
    <cfRule type="cellIs" dxfId="16" priority="5" operator="between">
      <formula>0</formula>
      <formula>0</formula>
    </cfRule>
  </conditionalFormatting>
  <conditionalFormatting sqref="C61">
    <cfRule type="cellIs" dxfId="15" priority="4" operator="between">
      <formula>0</formula>
      <formula>0</formula>
    </cfRule>
  </conditionalFormatting>
  <conditionalFormatting sqref="B21">
    <cfRule type="cellIs" dxfId="14" priority="3" operator="between">
      <formula>0</formula>
      <formula>0</formula>
    </cfRule>
  </conditionalFormatting>
  <conditionalFormatting sqref="C21">
    <cfRule type="cellIs" dxfId="13" priority="2" operator="between">
      <formula>0</formula>
      <formula>0</formula>
    </cfRule>
  </conditionalFormatting>
  <conditionalFormatting sqref="C27">
    <cfRule type="cellIs" dxfId="12" priority="1" operator="between">
      <formula>0</formula>
      <formula>0</formula>
    </cfRule>
  </conditionalFormatting>
  <pageMargins left="0.34" right="0.39" top="0.88" bottom="0.8" header="0.4" footer="0.3"/>
  <pageSetup scale="80" orientation="landscape" r:id="rId1"/>
  <headerFooter>
    <oddFooter>&amp;CPage no &amp;P  MB  -1021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abSelected="1" view="pageBreakPreview" topLeftCell="A11" zoomScale="85" zoomScaleSheetLayoutView="85" zoomScalePageLayoutView="60" workbookViewId="0">
      <selection activeCell="C23" sqref="C23"/>
    </sheetView>
  </sheetViews>
  <sheetFormatPr defaultColWidth="8.85546875" defaultRowHeight="15" x14ac:dyDescent="0.25"/>
  <cols>
    <col min="1" max="1" width="10.7109375" style="98" customWidth="1"/>
    <col min="2" max="2" width="6" style="98" customWidth="1"/>
    <col min="3" max="3" width="36.28515625" style="98" customWidth="1"/>
    <col min="4" max="4" width="5.85546875" style="119" customWidth="1"/>
    <col min="5" max="5" width="5.28515625" style="98" customWidth="1"/>
    <col min="6" max="6" width="10.7109375" style="98" customWidth="1"/>
    <col min="7" max="7" width="7.140625" style="98" bestFit="1" customWidth="1"/>
    <col min="8" max="9" width="9.28515625" style="98" bestFit="1" customWidth="1"/>
    <col min="10" max="10" width="7.140625" style="98" bestFit="1" customWidth="1"/>
    <col min="11" max="11" width="10.42578125" style="98" bestFit="1" customWidth="1"/>
    <col min="12" max="12" width="9.28515625" style="98" bestFit="1" customWidth="1"/>
    <col min="13" max="13" width="7.28515625" style="98" bestFit="1" customWidth="1"/>
    <col min="14" max="14" width="8.28515625" style="98" bestFit="1" customWidth="1"/>
    <col min="15" max="15" width="10.42578125" style="98" bestFit="1" customWidth="1"/>
    <col min="16" max="16" width="8.140625" style="98" customWidth="1"/>
    <col min="17" max="16384" width="8.85546875" style="98"/>
  </cols>
  <sheetData>
    <row r="1" spans="1:16" ht="34.5" customHeight="1" x14ac:dyDescent="0.25">
      <c r="A1" s="213" t="s">
        <v>9</v>
      </c>
      <c r="B1" s="214"/>
      <c r="C1" s="215" t="s">
        <v>23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7"/>
    </row>
    <row r="2" spans="1:16" ht="21" customHeight="1" x14ac:dyDescent="0.25">
      <c r="A2" s="203" t="s">
        <v>32</v>
      </c>
      <c r="B2" s="204"/>
      <c r="C2" s="205" t="s">
        <v>26</v>
      </c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7"/>
    </row>
    <row r="3" spans="1:16" ht="30" customHeight="1" x14ac:dyDescent="0.25">
      <c r="A3" s="203" t="s">
        <v>10</v>
      </c>
      <c r="B3" s="204"/>
      <c r="C3" s="218" t="s">
        <v>27</v>
      </c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20"/>
    </row>
    <row r="4" spans="1:16" x14ac:dyDescent="0.25">
      <c r="A4" s="203" t="s">
        <v>11</v>
      </c>
      <c r="B4" s="204"/>
      <c r="C4" s="205" t="s">
        <v>28</v>
      </c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7"/>
    </row>
    <row r="5" spans="1:16" x14ac:dyDescent="0.25">
      <c r="A5" s="203" t="s">
        <v>12</v>
      </c>
      <c r="B5" s="204"/>
      <c r="C5" s="205" t="s">
        <v>29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7"/>
    </row>
    <row r="6" spans="1:16" x14ac:dyDescent="0.25">
      <c r="A6" s="208" t="s">
        <v>13</v>
      </c>
      <c r="B6" s="209"/>
      <c r="C6" s="210" t="s">
        <v>40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2"/>
    </row>
    <row r="7" spans="1:16" ht="24" customHeight="1" x14ac:dyDescent="0.25">
      <c r="A7" s="224" t="s">
        <v>3</v>
      </c>
      <c r="B7" s="224" t="s">
        <v>14</v>
      </c>
      <c r="C7" s="225" t="s">
        <v>4</v>
      </c>
      <c r="D7" s="226" t="s">
        <v>5</v>
      </c>
      <c r="E7" s="226" t="s">
        <v>6</v>
      </c>
      <c r="F7" s="226" t="s">
        <v>7</v>
      </c>
      <c r="G7" s="167">
        <v>8</v>
      </c>
      <c r="H7" s="167">
        <v>10</v>
      </c>
      <c r="I7" s="167">
        <v>12</v>
      </c>
      <c r="J7" s="167">
        <v>16</v>
      </c>
      <c r="K7" s="167">
        <v>20</v>
      </c>
      <c r="L7" s="167">
        <v>25</v>
      </c>
      <c r="M7" s="167">
        <v>28</v>
      </c>
      <c r="N7" s="167">
        <v>32</v>
      </c>
      <c r="O7" s="167">
        <v>36</v>
      </c>
      <c r="P7" s="226" t="s">
        <v>8</v>
      </c>
    </row>
    <row r="8" spans="1:16" ht="20.100000000000001" customHeight="1" x14ac:dyDescent="0.25">
      <c r="A8" s="156" t="s">
        <v>68</v>
      </c>
      <c r="B8" s="157" t="s">
        <v>97</v>
      </c>
      <c r="C8" s="158" t="s">
        <v>99</v>
      </c>
      <c r="D8" s="159"/>
      <c r="E8" s="160"/>
      <c r="F8" s="161"/>
      <c r="G8" s="162"/>
      <c r="H8" s="162"/>
      <c r="I8" s="162"/>
      <c r="J8" s="162"/>
      <c r="K8" s="162"/>
      <c r="L8" s="162"/>
      <c r="M8" s="162"/>
      <c r="N8" s="162"/>
      <c r="O8" s="162"/>
      <c r="P8" s="51"/>
    </row>
    <row r="9" spans="1:16" ht="20.100000000000001" customHeight="1" x14ac:dyDescent="0.25">
      <c r="A9" s="163"/>
      <c r="B9" s="160"/>
      <c r="C9" s="50" t="s">
        <v>70</v>
      </c>
      <c r="D9" s="52">
        <v>20</v>
      </c>
      <c r="E9" s="50">
        <f>20*4</f>
        <v>80</v>
      </c>
      <c r="F9" s="99">
        <f>+(3-0.15-0.08)+((1.5-0.15)*2)</f>
        <v>5.4700000000000006</v>
      </c>
      <c r="G9" s="162" t="str">
        <f t="shared" ref="G9:G22" si="0">IF(D9 = 8,E9*F9," -")</f>
        <v xml:space="preserve"> -</v>
      </c>
      <c r="H9" s="162" t="str">
        <f t="shared" ref="H9:H22" si="1">IF(D9 = 10,E9*F9," -")</f>
        <v xml:space="preserve"> -</v>
      </c>
      <c r="I9" s="162" t="str">
        <f t="shared" ref="I9:I22" si="2">IF(D9=12,E9*F9,"-")</f>
        <v>-</v>
      </c>
      <c r="J9" s="162" t="str">
        <f t="shared" ref="J9:J22" si="3">IF(D9=16,E9*F9,"-")</f>
        <v>-</v>
      </c>
      <c r="K9" s="162">
        <f t="shared" ref="K9:K22" si="4">IF(D9=20,E9*F9,"-")</f>
        <v>437.6</v>
      </c>
      <c r="L9" s="162" t="str">
        <f t="shared" ref="L9:L22" si="5">IF(D9=25,E9*F9,"-")</f>
        <v>-</v>
      </c>
      <c r="M9" s="162" t="str">
        <f t="shared" ref="M9:M22" si="6">IF(D9=28,E9*F9,"-")</f>
        <v>-</v>
      </c>
      <c r="N9" s="162" t="str">
        <f t="shared" ref="N9:N22" si="7">IF(D9=32,E9*F9,"-")</f>
        <v>-</v>
      </c>
      <c r="O9" s="162" t="str">
        <f>IF(D9=36,E9*F9,"-")</f>
        <v>-</v>
      </c>
      <c r="P9" s="51"/>
    </row>
    <row r="10" spans="1:16" ht="20.100000000000001" customHeight="1" x14ac:dyDescent="0.25">
      <c r="A10" s="163"/>
      <c r="B10" s="160"/>
      <c r="C10" s="50" t="s">
        <v>72</v>
      </c>
      <c r="D10" s="52">
        <v>20</v>
      </c>
      <c r="E10" s="50">
        <f>20*4</f>
        <v>80</v>
      </c>
      <c r="F10" s="99">
        <f>+(3-0.15-0.08)+((1.5-0.15-0.04)*2)</f>
        <v>5.3900000000000006</v>
      </c>
      <c r="G10" s="162" t="str">
        <f t="shared" si="0"/>
        <v xml:space="preserve"> -</v>
      </c>
      <c r="H10" s="162" t="str">
        <f t="shared" si="1"/>
        <v xml:space="preserve"> -</v>
      </c>
      <c r="I10" s="162" t="str">
        <f t="shared" si="2"/>
        <v>-</v>
      </c>
      <c r="J10" s="162" t="str">
        <f t="shared" si="3"/>
        <v>-</v>
      </c>
      <c r="K10" s="162">
        <f t="shared" si="4"/>
        <v>431.20000000000005</v>
      </c>
      <c r="L10" s="162" t="str">
        <f t="shared" si="5"/>
        <v>-</v>
      </c>
      <c r="M10" s="162" t="str">
        <f t="shared" si="6"/>
        <v>-</v>
      </c>
      <c r="N10" s="162" t="str">
        <f t="shared" si="7"/>
        <v>-</v>
      </c>
      <c r="O10" s="162" t="str">
        <f>IF(D10=36,E10*F10,"-")</f>
        <v>-</v>
      </c>
      <c r="P10" s="51"/>
    </row>
    <row r="11" spans="1:16" ht="20.100000000000001" customHeight="1" x14ac:dyDescent="0.25">
      <c r="A11" s="163"/>
      <c r="B11" s="160"/>
      <c r="C11" s="50" t="s">
        <v>78</v>
      </c>
      <c r="D11" s="103">
        <v>20</v>
      </c>
      <c r="E11" s="104">
        <f>6*4</f>
        <v>24</v>
      </c>
      <c r="F11" s="105">
        <f>+(3-0.15-0.04)*4</f>
        <v>11.24</v>
      </c>
      <c r="G11" s="162" t="str">
        <f t="shared" si="0"/>
        <v xml:space="preserve"> -</v>
      </c>
      <c r="H11" s="162" t="str">
        <f t="shared" si="1"/>
        <v xml:space="preserve"> -</v>
      </c>
      <c r="I11" s="162" t="str">
        <f t="shared" si="2"/>
        <v>-</v>
      </c>
      <c r="J11" s="162" t="str">
        <f t="shared" si="3"/>
        <v>-</v>
      </c>
      <c r="K11" s="162">
        <f t="shared" si="4"/>
        <v>269.76</v>
      </c>
      <c r="L11" s="162" t="str">
        <f t="shared" si="5"/>
        <v>-</v>
      </c>
      <c r="M11" s="162" t="str">
        <f t="shared" si="6"/>
        <v>-</v>
      </c>
      <c r="N11" s="162" t="str">
        <f t="shared" si="7"/>
        <v>-</v>
      </c>
      <c r="O11" s="162" t="str">
        <f t="shared" ref="O11:O22" si="8">IF(D11=36,E11*F11,"-")</f>
        <v>-</v>
      </c>
      <c r="P11" s="51"/>
    </row>
    <row r="12" spans="1:16" ht="20.100000000000001" customHeight="1" x14ac:dyDescent="0.25">
      <c r="A12" s="163"/>
      <c r="B12" s="160"/>
      <c r="C12" s="106" t="s">
        <v>79</v>
      </c>
      <c r="D12" s="52">
        <v>20</v>
      </c>
      <c r="E12" s="50">
        <f>12*4</f>
        <v>48</v>
      </c>
      <c r="F12" s="99">
        <v>0.94</v>
      </c>
      <c r="G12" s="162" t="str">
        <f t="shared" si="0"/>
        <v xml:space="preserve"> -</v>
      </c>
      <c r="H12" s="162" t="str">
        <f t="shared" si="1"/>
        <v xml:space="preserve"> -</v>
      </c>
      <c r="I12" s="162" t="str">
        <f t="shared" si="2"/>
        <v>-</v>
      </c>
      <c r="J12" s="162" t="str">
        <f t="shared" si="3"/>
        <v>-</v>
      </c>
      <c r="K12" s="162">
        <f t="shared" si="4"/>
        <v>45.12</v>
      </c>
      <c r="L12" s="162" t="str">
        <f t="shared" si="5"/>
        <v>-</v>
      </c>
      <c r="M12" s="162" t="str">
        <f t="shared" si="6"/>
        <v>-</v>
      </c>
      <c r="N12" s="162" t="str">
        <f t="shared" si="7"/>
        <v>-</v>
      </c>
      <c r="O12" s="162" t="str">
        <f t="shared" si="8"/>
        <v>-</v>
      </c>
      <c r="P12" s="51"/>
    </row>
    <row r="13" spans="1:16" ht="20.100000000000001" customHeight="1" x14ac:dyDescent="0.25">
      <c r="A13" s="163"/>
      <c r="B13" s="160"/>
      <c r="C13" s="106" t="s">
        <v>100</v>
      </c>
      <c r="D13" s="103">
        <v>20</v>
      </c>
      <c r="E13" s="104">
        <f>20*4</f>
        <v>80</v>
      </c>
      <c r="F13" s="99">
        <f>+(3-0.15-0.08)+((1.5-0.15-0.04)*2)</f>
        <v>5.3900000000000006</v>
      </c>
      <c r="G13" s="162" t="str">
        <f t="shared" si="0"/>
        <v xml:space="preserve"> -</v>
      </c>
      <c r="H13" s="162" t="str">
        <f t="shared" si="1"/>
        <v xml:space="preserve"> -</v>
      </c>
      <c r="I13" s="162" t="str">
        <f t="shared" si="2"/>
        <v>-</v>
      </c>
      <c r="J13" s="162" t="str">
        <f t="shared" si="3"/>
        <v>-</v>
      </c>
      <c r="K13" s="162">
        <f t="shared" si="4"/>
        <v>431.20000000000005</v>
      </c>
      <c r="L13" s="162" t="str">
        <f t="shared" si="5"/>
        <v>-</v>
      </c>
      <c r="M13" s="162" t="str">
        <f t="shared" si="6"/>
        <v>-</v>
      </c>
      <c r="N13" s="162" t="str">
        <f t="shared" si="7"/>
        <v>-</v>
      </c>
      <c r="O13" s="162" t="str">
        <f t="shared" si="8"/>
        <v>-</v>
      </c>
      <c r="P13" s="51"/>
    </row>
    <row r="14" spans="1:16" ht="20.100000000000001" customHeight="1" x14ac:dyDescent="0.25">
      <c r="A14" s="163"/>
      <c r="B14" s="160"/>
      <c r="C14" s="106" t="s">
        <v>101</v>
      </c>
      <c r="D14" s="52">
        <v>20</v>
      </c>
      <c r="E14" s="50">
        <f>20*4</f>
        <v>80</v>
      </c>
      <c r="F14" s="99">
        <f>+(3-0.15-0.08)+((1.5-0.15)*2)</f>
        <v>5.4700000000000006</v>
      </c>
      <c r="G14" s="162" t="str">
        <f t="shared" si="0"/>
        <v xml:space="preserve"> -</v>
      </c>
      <c r="H14" s="162" t="str">
        <f t="shared" si="1"/>
        <v xml:space="preserve"> -</v>
      </c>
      <c r="I14" s="162" t="str">
        <f t="shared" si="2"/>
        <v>-</v>
      </c>
      <c r="J14" s="162" t="str">
        <f t="shared" si="3"/>
        <v>-</v>
      </c>
      <c r="K14" s="162">
        <f t="shared" si="4"/>
        <v>437.6</v>
      </c>
      <c r="L14" s="162" t="str">
        <f t="shared" si="5"/>
        <v>-</v>
      </c>
      <c r="M14" s="162" t="str">
        <f t="shared" si="6"/>
        <v>-</v>
      </c>
      <c r="N14" s="162" t="str">
        <f t="shared" si="7"/>
        <v>-</v>
      </c>
      <c r="O14" s="162" t="str">
        <f t="shared" si="8"/>
        <v>-</v>
      </c>
      <c r="P14" s="51"/>
    </row>
    <row r="15" spans="1:16" ht="20.100000000000001" customHeight="1" x14ac:dyDescent="0.25">
      <c r="A15" s="163"/>
      <c r="B15" s="160" t="s">
        <v>98</v>
      </c>
      <c r="C15" s="107" t="s">
        <v>102</v>
      </c>
      <c r="D15" s="52"/>
      <c r="E15" s="50"/>
      <c r="F15" s="51"/>
      <c r="G15" s="162"/>
      <c r="H15" s="162"/>
      <c r="I15" s="162"/>
      <c r="J15" s="162"/>
      <c r="K15" s="162"/>
      <c r="L15" s="162"/>
      <c r="M15" s="162"/>
      <c r="N15" s="162"/>
      <c r="O15" s="162"/>
      <c r="P15" s="51"/>
    </row>
    <row r="16" spans="1:16" ht="20.100000000000001" customHeight="1" x14ac:dyDescent="0.25">
      <c r="A16" s="163"/>
      <c r="B16" s="160"/>
      <c r="C16" s="108" t="s">
        <v>81</v>
      </c>
      <c r="D16" s="52">
        <v>36</v>
      </c>
      <c r="E16" s="100">
        <f>16*4</f>
        <v>64</v>
      </c>
      <c r="F16" s="109">
        <f>1.5-0.075-0.04-0.036-0.036+0.374</f>
        <v>1.6869999999999998</v>
      </c>
      <c r="G16" s="162" t="str">
        <f t="shared" si="0"/>
        <v xml:space="preserve"> -</v>
      </c>
      <c r="H16" s="162" t="str">
        <f t="shared" si="1"/>
        <v xml:space="preserve"> -</v>
      </c>
      <c r="I16" s="162" t="str">
        <f t="shared" si="2"/>
        <v>-</v>
      </c>
      <c r="J16" s="162" t="str">
        <f t="shared" si="3"/>
        <v>-</v>
      </c>
      <c r="K16" s="162" t="str">
        <f t="shared" si="4"/>
        <v>-</v>
      </c>
      <c r="L16" s="162" t="str">
        <f t="shared" si="5"/>
        <v>-</v>
      </c>
      <c r="M16" s="162" t="str">
        <f t="shared" si="6"/>
        <v>-</v>
      </c>
      <c r="N16" s="162" t="str">
        <f t="shared" si="7"/>
        <v>-</v>
      </c>
      <c r="O16" s="162">
        <f t="shared" si="8"/>
        <v>107.96799999999999</v>
      </c>
      <c r="P16" s="50"/>
    </row>
    <row r="17" spans="1:16" ht="20.100000000000001" customHeight="1" x14ac:dyDescent="0.25">
      <c r="A17" s="163"/>
      <c r="B17" s="160" t="s">
        <v>97</v>
      </c>
      <c r="C17" s="107" t="s">
        <v>102</v>
      </c>
      <c r="D17" s="52"/>
      <c r="E17" s="100"/>
      <c r="F17" s="109"/>
      <c r="G17" s="162"/>
      <c r="H17" s="162"/>
      <c r="I17" s="162"/>
      <c r="J17" s="162"/>
      <c r="K17" s="162"/>
      <c r="L17" s="162"/>
      <c r="M17" s="162"/>
      <c r="N17" s="162"/>
      <c r="O17" s="162"/>
      <c r="P17" s="50"/>
    </row>
    <row r="18" spans="1:16" ht="20.100000000000001" customHeight="1" x14ac:dyDescent="0.25">
      <c r="A18" s="163"/>
      <c r="C18" s="108" t="s">
        <v>89</v>
      </c>
      <c r="D18" s="52">
        <v>10</v>
      </c>
      <c r="E18" s="50">
        <f>4*15</f>
        <v>60</v>
      </c>
      <c r="F18" s="51">
        <f>+((1-0.1-0.04)*2+((0.75-0.1)*2)+(0.1*2))</f>
        <v>3.22</v>
      </c>
      <c r="G18" s="162" t="str">
        <f t="shared" si="0"/>
        <v xml:space="preserve"> -</v>
      </c>
      <c r="H18" s="162">
        <f t="shared" si="1"/>
        <v>193.20000000000002</v>
      </c>
      <c r="I18" s="162" t="str">
        <f t="shared" si="2"/>
        <v>-</v>
      </c>
      <c r="J18" s="162" t="str">
        <f t="shared" si="3"/>
        <v>-</v>
      </c>
      <c r="K18" s="162" t="str">
        <f t="shared" si="4"/>
        <v>-</v>
      </c>
      <c r="L18" s="162" t="str">
        <f t="shared" si="5"/>
        <v>-</v>
      </c>
      <c r="M18" s="162" t="str">
        <f t="shared" si="6"/>
        <v>-</v>
      </c>
      <c r="N18" s="162" t="str">
        <f t="shared" si="7"/>
        <v>-</v>
      </c>
      <c r="O18" s="162" t="str">
        <f t="shared" si="8"/>
        <v>-</v>
      </c>
      <c r="P18" s="50"/>
    </row>
    <row r="19" spans="1:16" ht="20.100000000000001" customHeight="1" x14ac:dyDescent="0.25">
      <c r="A19" s="163"/>
      <c r="B19" s="160"/>
      <c r="C19" s="108" t="s">
        <v>90</v>
      </c>
      <c r="D19" s="52">
        <v>10</v>
      </c>
      <c r="E19" s="50">
        <f>14*2*4</f>
        <v>112</v>
      </c>
      <c r="F19" s="51">
        <f>+((1-0.1-0.04)*2+(0.281*2)+0.2)</f>
        <v>2.4820000000000002</v>
      </c>
      <c r="G19" s="162" t="str">
        <f t="shared" si="0"/>
        <v xml:space="preserve"> -</v>
      </c>
      <c r="H19" s="162">
        <f t="shared" si="1"/>
        <v>277.98400000000004</v>
      </c>
      <c r="I19" s="162" t="str">
        <f t="shared" si="2"/>
        <v>-</v>
      </c>
      <c r="J19" s="162" t="str">
        <f t="shared" si="3"/>
        <v>-</v>
      </c>
      <c r="K19" s="162" t="str">
        <f t="shared" si="4"/>
        <v>-</v>
      </c>
      <c r="L19" s="162" t="str">
        <f t="shared" si="5"/>
        <v>-</v>
      </c>
      <c r="M19" s="162" t="str">
        <f t="shared" si="6"/>
        <v>-</v>
      </c>
      <c r="N19" s="162" t="str">
        <f t="shared" si="7"/>
        <v>-</v>
      </c>
      <c r="O19" s="162" t="str">
        <f t="shared" si="8"/>
        <v>-</v>
      </c>
      <c r="P19" s="50"/>
    </row>
    <row r="20" spans="1:16" ht="20.100000000000001" customHeight="1" x14ac:dyDescent="0.25">
      <c r="A20" s="163"/>
      <c r="B20" s="160"/>
      <c r="C20" s="108" t="s">
        <v>103</v>
      </c>
      <c r="D20" s="52">
        <v>10</v>
      </c>
      <c r="E20" s="50">
        <f>14*2*4</f>
        <v>112</v>
      </c>
      <c r="F20" s="51">
        <f>0.9+0.1+0.1</f>
        <v>1.1000000000000001</v>
      </c>
      <c r="G20" s="162" t="str">
        <f t="shared" si="0"/>
        <v xml:space="preserve"> -</v>
      </c>
      <c r="H20" s="162">
        <f t="shared" si="1"/>
        <v>123.20000000000002</v>
      </c>
      <c r="I20" s="162" t="str">
        <f t="shared" si="2"/>
        <v>-</v>
      </c>
      <c r="J20" s="162" t="str">
        <f t="shared" si="3"/>
        <v>-</v>
      </c>
      <c r="K20" s="162" t="str">
        <f t="shared" si="4"/>
        <v>-</v>
      </c>
      <c r="L20" s="162" t="str">
        <f t="shared" si="5"/>
        <v>-</v>
      </c>
      <c r="M20" s="162" t="str">
        <f t="shared" si="6"/>
        <v>-</v>
      </c>
      <c r="N20" s="162" t="str">
        <f t="shared" si="7"/>
        <v>-</v>
      </c>
      <c r="O20" s="162" t="str">
        <f t="shared" si="8"/>
        <v>-</v>
      </c>
      <c r="P20" s="50"/>
    </row>
    <row r="21" spans="1:16" ht="20.100000000000001" customHeight="1" x14ac:dyDescent="0.25">
      <c r="A21" s="163"/>
      <c r="B21" s="160" t="s">
        <v>98</v>
      </c>
      <c r="C21" s="107" t="s">
        <v>102</v>
      </c>
      <c r="D21" s="52"/>
      <c r="E21" s="50"/>
      <c r="F21" s="51"/>
      <c r="G21" s="162"/>
      <c r="H21" s="162"/>
      <c r="I21" s="162"/>
      <c r="J21" s="162"/>
      <c r="K21" s="162"/>
      <c r="L21" s="162"/>
      <c r="M21" s="162"/>
      <c r="N21" s="162"/>
      <c r="O21" s="162"/>
      <c r="P21" s="50"/>
    </row>
    <row r="22" spans="1:16" ht="20.100000000000001" customHeight="1" x14ac:dyDescent="0.25">
      <c r="A22" s="163"/>
      <c r="C22" s="53" t="s">
        <v>96</v>
      </c>
      <c r="D22" s="52">
        <v>25</v>
      </c>
      <c r="E22" s="50">
        <f>6*4</f>
        <v>24</v>
      </c>
      <c r="F22" s="51">
        <v>4.18</v>
      </c>
      <c r="G22" s="162" t="str">
        <f t="shared" si="0"/>
        <v xml:space="preserve"> -</v>
      </c>
      <c r="H22" s="162" t="str">
        <f t="shared" si="1"/>
        <v xml:space="preserve"> -</v>
      </c>
      <c r="I22" s="162" t="str">
        <f t="shared" si="2"/>
        <v>-</v>
      </c>
      <c r="J22" s="162" t="str">
        <f t="shared" si="3"/>
        <v>-</v>
      </c>
      <c r="K22" s="162" t="str">
        <f t="shared" si="4"/>
        <v>-</v>
      </c>
      <c r="L22" s="162">
        <f t="shared" si="5"/>
        <v>100.32</v>
      </c>
      <c r="M22" s="162" t="str">
        <f t="shared" si="6"/>
        <v>-</v>
      </c>
      <c r="N22" s="162" t="str">
        <f t="shared" si="7"/>
        <v>-</v>
      </c>
      <c r="O22" s="162" t="str">
        <f t="shared" si="8"/>
        <v>-</v>
      </c>
      <c r="P22" s="50"/>
    </row>
    <row r="23" spans="1:16" ht="20.100000000000001" customHeight="1" x14ac:dyDescent="0.25">
      <c r="A23" s="50"/>
      <c r="B23" s="50"/>
      <c r="C23" s="106"/>
      <c r="D23" s="103"/>
      <c r="E23" s="104"/>
      <c r="F23" s="99"/>
      <c r="G23" s="140"/>
      <c r="H23" s="140"/>
      <c r="I23" s="140"/>
      <c r="J23" s="140"/>
      <c r="K23" s="138"/>
      <c r="L23" s="140"/>
      <c r="M23" s="140"/>
      <c r="N23" s="140"/>
      <c r="O23" s="140"/>
      <c r="P23" s="51"/>
    </row>
    <row r="24" spans="1:16" ht="20.100000000000001" customHeight="1" x14ac:dyDescent="0.25">
      <c r="A24" s="50"/>
      <c r="B24" s="50"/>
      <c r="C24" s="106"/>
      <c r="D24" s="52"/>
      <c r="E24" s="50"/>
      <c r="F24" s="99"/>
      <c r="G24" s="140"/>
      <c r="H24" s="140"/>
      <c r="I24" s="140"/>
      <c r="J24" s="140"/>
      <c r="K24" s="138"/>
      <c r="L24" s="140"/>
      <c r="M24" s="140"/>
      <c r="N24" s="140"/>
      <c r="O24" s="140"/>
      <c r="P24" s="51"/>
    </row>
    <row r="25" spans="1:16" ht="20.100000000000001" customHeight="1" x14ac:dyDescent="0.25">
      <c r="A25" s="50"/>
      <c r="B25" s="50"/>
      <c r="C25" s="107"/>
      <c r="D25" s="52"/>
      <c r="E25" s="50"/>
      <c r="F25" s="51"/>
      <c r="G25" s="138"/>
      <c r="H25" s="138"/>
      <c r="I25" s="138"/>
      <c r="J25" s="138"/>
      <c r="K25" s="138"/>
      <c r="L25" s="138"/>
      <c r="M25" s="138"/>
      <c r="N25" s="138"/>
      <c r="O25" s="138"/>
      <c r="P25" s="50"/>
    </row>
    <row r="26" spans="1:16" ht="20.100000000000001" customHeight="1" x14ac:dyDescent="0.25">
      <c r="A26" s="50"/>
      <c r="B26" s="50"/>
      <c r="C26" s="108"/>
      <c r="D26" s="52"/>
      <c r="E26" s="100"/>
      <c r="F26" s="109"/>
      <c r="G26" s="140"/>
      <c r="H26" s="140"/>
      <c r="I26" s="140"/>
      <c r="J26" s="140"/>
      <c r="K26" s="140"/>
      <c r="L26" s="140"/>
      <c r="M26" s="140"/>
      <c r="N26" s="140"/>
      <c r="O26" s="138"/>
      <c r="P26" s="50"/>
    </row>
    <row r="27" spans="1:16" ht="20.100000000000001" customHeight="1" x14ac:dyDescent="0.25">
      <c r="A27" s="50"/>
      <c r="B27" s="50"/>
      <c r="C27" s="108"/>
      <c r="D27" s="52"/>
      <c r="E27" s="50"/>
      <c r="F27" s="51"/>
      <c r="G27" s="140"/>
      <c r="H27" s="138"/>
      <c r="I27" s="140"/>
      <c r="J27" s="140"/>
      <c r="K27" s="140"/>
      <c r="L27" s="140"/>
      <c r="M27" s="140"/>
      <c r="N27" s="140"/>
      <c r="O27" s="140"/>
      <c r="P27" s="50"/>
    </row>
    <row r="28" spans="1:16" ht="20.100000000000001" customHeight="1" x14ac:dyDescent="0.25">
      <c r="A28" s="50"/>
      <c r="B28" s="50"/>
      <c r="C28" s="108"/>
      <c r="D28" s="52"/>
      <c r="E28" s="50"/>
      <c r="F28" s="51"/>
      <c r="G28" s="140"/>
      <c r="H28" s="138"/>
      <c r="I28" s="140"/>
      <c r="J28" s="140"/>
      <c r="K28" s="140"/>
      <c r="L28" s="140"/>
      <c r="M28" s="140"/>
      <c r="N28" s="140"/>
      <c r="O28" s="140"/>
      <c r="P28" s="50"/>
    </row>
    <row r="29" spans="1:16" ht="20.100000000000001" customHeight="1" x14ac:dyDescent="0.25">
      <c r="A29" s="50"/>
      <c r="B29" s="50"/>
      <c r="C29" s="108"/>
      <c r="D29" s="52"/>
      <c r="E29" s="50"/>
      <c r="F29" s="51"/>
      <c r="G29" s="140"/>
      <c r="H29" s="138"/>
      <c r="I29" s="140"/>
      <c r="J29" s="140"/>
      <c r="K29" s="140"/>
      <c r="L29" s="140"/>
      <c r="M29" s="140"/>
      <c r="N29" s="140"/>
      <c r="O29" s="140"/>
      <c r="P29" s="50"/>
    </row>
    <row r="30" spans="1:16" ht="20.100000000000001" customHeight="1" x14ac:dyDescent="0.25">
      <c r="A30" s="50"/>
      <c r="B30" s="50"/>
      <c r="C30" s="108"/>
      <c r="D30" s="52"/>
      <c r="E30" s="50"/>
      <c r="F30" s="51"/>
      <c r="G30" s="140"/>
      <c r="H30" s="138"/>
      <c r="I30" s="140"/>
      <c r="J30" s="140"/>
      <c r="K30" s="140"/>
      <c r="L30" s="140"/>
      <c r="M30" s="140"/>
      <c r="N30" s="140"/>
      <c r="O30" s="140"/>
      <c r="P30" s="50"/>
    </row>
    <row r="31" spans="1:16" ht="20.100000000000001" customHeight="1" x14ac:dyDescent="0.25">
      <c r="A31" s="50"/>
      <c r="B31" s="50"/>
      <c r="C31" s="53"/>
      <c r="D31" s="52"/>
      <c r="E31" s="50"/>
      <c r="F31" s="51"/>
      <c r="G31" s="140"/>
      <c r="H31" s="138"/>
      <c r="I31" s="140"/>
      <c r="J31" s="140"/>
      <c r="K31" s="140"/>
      <c r="L31" s="138"/>
      <c r="M31" s="140"/>
      <c r="N31" s="140"/>
      <c r="O31" s="140"/>
      <c r="P31" s="50"/>
    </row>
    <row r="32" spans="1:16" ht="20.100000000000001" customHeight="1" x14ac:dyDescent="0.25">
      <c r="A32" s="100"/>
      <c r="B32" s="101"/>
      <c r="C32" s="102"/>
      <c r="D32" s="52"/>
      <c r="E32" s="50"/>
      <c r="F32" s="99"/>
      <c r="G32" s="140"/>
      <c r="H32" s="138"/>
      <c r="I32" s="140"/>
      <c r="J32" s="138"/>
      <c r="K32" s="138"/>
      <c r="L32" s="138"/>
      <c r="M32" s="140"/>
      <c r="N32" s="140"/>
      <c r="O32" s="140"/>
      <c r="P32" s="51"/>
    </row>
    <row r="33" spans="1:16" ht="20.100000000000001" customHeight="1" x14ac:dyDescent="0.25">
      <c r="A33" s="50"/>
      <c r="B33" s="50"/>
      <c r="C33" s="50"/>
      <c r="D33" s="52"/>
      <c r="E33" s="50"/>
      <c r="F33" s="99"/>
      <c r="G33" s="140"/>
      <c r="H33" s="140"/>
      <c r="I33" s="140"/>
      <c r="J33" s="138"/>
      <c r="K33" s="138"/>
      <c r="L33" s="140"/>
      <c r="M33" s="140"/>
      <c r="N33" s="140"/>
      <c r="O33" s="140"/>
      <c r="P33" s="51"/>
    </row>
    <row r="34" spans="1:16" ht="20.100000000000001" customHeight="1" x14ac:dyDescent="0.25">
      <c r="A34" s="50"/>
      <c r="B34" s="50"/>
      <c r="C34" s="50"/>
      <c r="D34" s="52"/>
      <c r="E34" s="50"/>
      <c r="F34" s="99"/>
      <c r="G34" s="140"/>
      <c r="H34" s="140"/>
      <c r="I34" s="140"/>
      <c r="J34" s="138"/>
      <c r="K34" s="138"/>
      <c r="L34" s="140"/>
      <c r="M34" s="140"/>
      <c r="N34" s="140"/>
      <c r="O34" s="140"/>
      <c r="P34" s="51"/>
    </row>
    <row r="35" spans="1:16" ht="20.100000000000001" customHeight="1" x14ac:dyDescent="0.25">
      <c r="A35" s="50"/>
      <c r="B35" s="50"/>
      <c r="C35" s="50"/>
      <c r="D35" s="103"/>
      <c r="E35" s="104"/>
      <c r="F35" s="105"/>
      <c r="G35" s="140"/>
      <c r="H35" s="140"/>
      <c r="I35" s="140"/>
      <c r="J35" s="138"/>
      <c r="K35" s="138"/>
      <c r="L35" s="140"/>
      <c r="M35" s="140"/>
      <c r="N35" s="140"/>
      <c r="O35" s="140"/>
      <c r="P35" s="51"/>
    </row>
    <row r="36" spans="1:16" ht="20.100000000000001" customHeight="1" x14ac:dyDescent="0.25">
      <c r="A36" s="50"/>
      <c r="B36" s="50"/>
      <c r="C36" s="106"/>
      <c r="D36" s="52"/>
      <c r="E36" s="50"/>
      <c r="F36" s="99"/>
      <c r="G36" s="140"/>
      <c r="H36" s="140"/>
      <c r="I36" s="140"/>
      <c r="J36" s="138"/>
      <c r="K36" s="138"/>
      <c r="L36" s="140"/>
      <c r="M36" s="140"/>
      <c r="N36" s="140"/>
      <c r="O36" s="140"/>
      <c r="P36" s="51"/>
    </row>
    <row r="37" spans="1:16" ht="20.100000000000001" customHeight="1" x14ac:dyDescent="0.25">
      <c r="A37" s="50"/>
      <c r="B37" s="50"/>
      <c r="C37" s="106"/>
      <c r="D37" s="103"/>
      <c r="E37" s="104"/>
      <c r="F37" s="99"/>
      <c r="G37" s="140"/>
      <c r="H37" s="140"/>
      <c r="I37" s="140"/>
      <c r="J37" s="138"/>
      <c r="K37" s="138"/>
      <c r="L37" s="140"/>
      <c r="M37" s="140"/>
      <c r="N37" s="140"/>
      <c r="O37" s="140"/>
      <c r="P37" s="51"/>
    </row>
    <row r="38" spans="1:16" ht="20.100000000000001" customHeight="1" x14ac:dyDescent="0.25">
      <c r="A38" s="50"/>
      <c r="B38" s="50"/>
      <c r="C38" s="106"/>
      <c r="D38" s="52"/>
      <c r="E38" s="50"/>
      <c r="F38" s="99"/>
      <c r="G38" s="140"/>
      <c r="H38" s="140"/>
      <c r="I38" s="140"/>
      <c r="J38" s="138"/>
      <c r="K38" s="138"/>
      <c r="L38" s="140"/>
      <c r="M38" s="140"/>
      <c r="N38" s="140"/>
      <c r="O38" s="140"/>
      <c r="P38" s="51"/>
    </row>
    <row r="39" spans="1:16" ht="20.100000000000001" customHeight="1" x14ac:dyDescent="0.25">
      <c r="A39" s="50"/>
      <c r="B39" s="50"/>
      <c r="C39" s="107"/>
      <c r="D39" s="52"/>
      <c r="E39" s="50"/>
      <c r="F39" s="51"/>
      <c r="G39" s="140"/>
      <c r="H39" s="140"/>
      <c r="I39" s="140"/>
      <c r="J39" s="138"/>
      <c r="K39" s="138"/>
      <c r="L39" s="140"/>
      <c r="M39" s="140"/>
      <c r="N39" s="140"/>
      <c r="O39" s="140"/>
      <c r="P39" s="50"/>
    </row>
    <row r="40" spans="1:16" ht="20.100000000000001" customHeight="1" x14ac:dyDescent="0.25">
      <c r="A40" s="50"/>
      <c r="B40" s="50"/>
      <c r="C40" s="108"/>
      <c r="D40" s="52"/>
      <c r="E40" s="100"/>
      <c r="F40" s="109"/>
      <c r="G40" s="140"/>
      <c r="H40" s="140"/>
      <c r="I40" s="140"/>
      <c r="J40" s="140"/>
      <c r="K40" s="140"/>
      <c r="L40" s="140"/>
      <c r="M40" s="138"/>
      <c r="N40" s="138"/>
      <c r="O40" s="138"/>
      <c r="P40" s="50"/>
    </row>
    <row r="41" spans="1:16" ht="20.100000000000001" customHeight="1" x14ac:dyDescent="0.25">
      <c r="A41" s="50"/>
      <c r="B41" s="50"/>
      <c r="C41" s="108"/>
      <c r="D41" s="52"/>
      <c r="E41" s="50"/>
      <c r="F41" s="51"/>
      <c r="G41" s="140"/>
      <c r="H41" s="138"/>
      <c r="I41" s="140"/>
      <c r="J41" s="140"/>
      <c r="K41" s="140"/>
      <c r="L41" s="140"/>
      <c r="M41" s="138"/>
      <c r="N41" s="138"/>
      <c r="O41" s="138"/>
      <c r="P41" s="50"/>
    </row>
    <row r="42" spans="1:16" ht="20.100000000000001" customHeight="1" x14ac:dyDescent="0.25">
      <c r="A42" s="50"/>
      <c r="B42" s="50"/>
      <c r="C42" s="120"/>
      <c r="D42" s="118"/>
      <c r="E42" s="116"/>
      <c r="F42" s="121"/>
      <c r="G42" s="122"/>
      <c r="H42" s="139"/>
      <c r="I42" s="122"/>
      <c r="J42" s="139"/>
      <c r="K42" s="139"/>
      <c r="L42" s="139"/>
      <c r="M42" s="139"/>
      <c r="N42" s="139"/>
      <c r="O42" s="139"/>
      <c r="P42" s="115"/>
    </row>
    <row r="43" spans="1:16" ht="20.100000000000001" customHeight="1" x14ac:dyDescent="0.25">
      <c r="A43" s="50"/>
      <c r="B43" s="50"/>
      <c r="C43" s="120"/>
      <c r="D43" s="118"/>
      <c r="E43" s="116"/>
      <c r="F43" s="121"/>
      <c r="G43" s="122"/>
      <c r="H43" s="139"/>
      <c r="I43" s="122"/>
      <c r="J43" s="139"/>
      <c r="K43" s="139"/>
      <c r="L43" s="139"/>
      <c r="M43" s="139"/>
      <c r="N43" s="139"/>
      <c r="O43" s="139"/>
      <c r="P43" s="117"/>
    </row>
    <row r="44" spans="1:16" ht="20.100000000000001" customHeight="1" x14ac:dyDescent="0.25">
      <c r="A44" s="50"/>
      <c r="B44" s="50"/>
      <c r="C44" s="108"/>
      <c r="D44" s="52"/>
      <c r="E44" s="50"/>
      <c r="F44" s="51"/>
      <c r="G44" s="140"/>
      <c r="H44" s="138"/>
      <c r="I44" s="140"/>
      <c r="J44" s="138"/>
      <c r="K44" s="140"/>
      <c r="L44" s="140"/>
      <c r="M44" s="140"/>
      <c r="N44" s="140"/>
      <c r="O44" s="140"/>
      <c r="P44" s="50"/>
    </row>
    <row r="45" spans="1:16" ht="20.100000000000001" customHeight="1" x14ac:dyDescent="0.25">
      <c r="A45" s="50"/>
      <c r="B45" s="50"/>
      <c r="C45" s="108"/>
      <c r="D45" s="52"/>
      <c r="E45" s="50"/>
      <c r="F45" s="51"/>
      <c r="G45" s="140"/>
      <c r="H45" s="138"/>
      <c r="I45" s="140"/>
      <c r="J45" s="138"/>
      <c r="K45" s="140"/>
      <c r="L45" s="140"/>
      <c r="M45" s="140"/>
      <c r="N45" s="140"/>
      <c r="O45" s="140"/>
      <c r="P45" s="50"/>
    </row>
    <row r="46" spans="1:16" ht="20.100000000000001" customHeight="1" x14ac:dyDescent="0.25">
      <c r="A46" s="50"/>
      <c r="B46" s="50"/>
      <c r="C46" s="53"/>
      <c r="D46" s="52"/>
      <c r="E46" s="50"/>
      <c r="F46" s="51"/>
      <c r="G46" s="140"/>
      <c r="H46" s="138"/>
      <c r="I46" s="140"/>
      <c r="J46" s="138"/>
      <c r="K46" s="140"/>
      <c r="L46" s="138"/>
      <c r="M46" s="140"/>
      <c r="N46" s="140"/>
      <c r="O46" s="140"/>
      <c r="P46" s="50"/>
    </row>
    <row r="47" spans="1:16" ht="20.100000000000001" customHeight="1" x14ac:dyDescent="0.25">
      <c r="A47" s="100"/>
      <c r="B47" s="101"/>
      <c r="C47" s="102"/>
      <c r="D47" s="52"/>
      <c r="E47" s="50"/>
      <c r="F47" s="99"/>
      <c r="G47" s="140"/>
      <c r="H47" s="138"/>
      <c r="I47" s="140"/>
      <c r="J47" s="138"/>
      <c r="K47" s="140"/>
      <c r="L47" s="138"/>
      <c r="M47" s="140"/>
      <c r="N47" s="140"/>
      <c r="O47" s="140"/>
      <c r="P47" s="51"/>
    </row>
    <row r="48" spans="1:16" ht="20.100000000000001" customHeight="1" x14ac:dyDescent="0.25">
      <c r="A48" s="50"/>
      <c r="B48" s="50"/>
      <c r="C48" s="50"/>
      <c r="D48" s="52"/>
      <c r="E48" s="50"/>
      <c r="F48" s="99"/>
      <c r="G48" s="140"/>
      <c r="H48" s="138"/>
      <c r="I48" s="140"/>
      <c r="J48" s="140"/>
      <c r="K48" s="138"/>
      <c r="L48" s="140"/>
      <c r="M48" s="140"/>
      <c r="N48" s="140"/>
      <c r="O48" s="140"/>
      <c r="P48" s="51"/>
    </row>
    <row r="49" spans="1:16" ht="20.100000000000001" customHeight="1" x14ac:dyDescent="0.25">
      <c r="A49" s="50"/>
      <c r="B49" s="50"/>
      <c r="C49" s="50"/>
      <c r="D49" s="52"/>
      <c r="E49" s="50"/>
      <c r="F49" s="99"/>
      <c r="G49" s="140"/>
      <c r="H49" s="138"/>
      <c r="I49" s="140"/>
      <c r="J49" s="140"/>
      <c r="K49" s="138"/>
      <c r="L49" s="140"/>
      <c r="M49" s="140"/>
      <c r="N49" s="140"/>
      <c r="O49" s="140"/>
      <c r="P49" s="51"/>
    </row>
    <row r="50" spans="1:16" ht="20.100000000000001" customHeight="1" x14ac:dyDescent="0.25">
      <c r="A50" s="50"/>
      <c r="B50" s="50"/>
      <c r="C50" s="50"/>
      <c r="D50" s="103"/>
      <c r="E50" s="104"/>
      <c r="F50" s="105"/>
      <c r="G50" s="140"/>
      <c r="H50" s="138"/>
      <c r="I50" s="140"/>
      <c r="J50" s="140"/>
      <c r="K50" s="138"/>
      <c r="L50" s="140"/>
      <c r="M50" s="140"/>
      <c r="N50" s="140"/>
      <c r="O50" s="140"/>
      <c r="P50" s="51"/>
    </row>
    <row r="51" spans="1:16" ht="20.100000000000001" customHeight="1" x14ac:dyDescent="0.25">
      <c r="A51" s="50"/>
      <c r="B51" s="50"/>
      <c r="C51" s="106"/>
      <c r="D51" s="52"/>
      <c r="E51" s="50"/>
      <c r="F51" s="99"/>
      <c r="G51" s="140"/>
      <c r="H51" s="138"/>
      <c r="I51" s="140"/>
      <c r="J51" s="140"/>
      <c r="K51" s="138"/>
      <c r="L51" s="140"/>
      <c r="M51" s="140"/>
      <c r="N51" s="140"/>
      <c r="O51" s="140"/>
      <c r="P51" s="51"/>
    </row>
    <row r="52" spans="1:16" ht="20.100000000000001" customHeight="1" x14ac:dyDescent="0.25">
      <c r="A52" s="50"/>
      <c r="B52" s="50"/>
      <c r="C52" s="106"/>
      <c r="D52" s="103"/>
      <c r="E52" s="104"/>
      <c r="F52" s="99"/>
      <c r="G52" s="140"/>
      <c r="H52" s="138"/>
      <c r="I52" s="140"/>
      <c r="J52" s="140"/>
      <c r="K52" s="138"/>
      <c r="L52" s="140"/>
      <c r="M52" s="140"/>
      <c r="N52" s="140"/>
      <c r="O52" s="140"/>
      <c r="P52" s="51"/>
    </row>
    <row r="53" spans="1:16" ht="20.100000000000001" customHeight="1" x14ac:dyDescent="0.25">
      <c r="A53" s="50"/>
      <c r="B53" s="50"/>
      <c r="C53" s="106"/>
      <c r="D53" s="52"/>
      <c r="E53" s="50"/>
      <c r="F53" s="99"/>
      <c r="G53" s="140"/>
      <c r="H53" s="138"/>
      <c r="I53" s="140"/>
      <c r="J53" s="140"/>
      <c r="K53" s="138"/>
      <c r="L53" s="140"/>
      <c r="M53" s="140"/>
      <c r="N53" s="140"/>
      <c r="O53" s="140"/>
      <c r="P53" s="51"/>
    </row>
    <row r="54" spans="1:16" ht="20.100000000000001" customHeight="1" x14ac:dyDescent="0.25">
      <c r="A54" s="50"/>
      <c r="B54" s="50"/>
      <c r="C54" s="107"/>
      <c r="D54" s="52"/>
      <c r="E54" s="50"/>
      <c r="F54" s="51"/>
      <c r="G54" s="140"/>
      <c r="H54" s="138"/>
      <c r="I54" s="140"/>
      <c r="J54" s="140"/>
      <c r="K54" s="138"/>
      <c r="L54" s="138"/>
      <c r="M54" s="138"/>
      <c r="N54" s="138"/>
      <c r="O54" s="138"/>
      <c r="P54" s="50"/>
    </row>
    <row r="55" spans="1:16" ht="20.100000000000001" customHeight="1" x14ac:dyDescent="0.25">
      <c r="A55" s="50"/>
      <c r="B55" s="50"/>
      <c r="C55" s="108"/>
      <c r="D55" s="52"/>
      <c r="E55" s="100"/>
      <c r="F55" s="109"/>
      <c r="G55" s="140"/>
      <c r="H55" s="138"/>
      <c r="I55" s="140"/>
      <c r="J55" s="140"/>
      <c r="K55" s="140"/>
      <c r="L55" s="140"/>
      <c r="M55" s="138"/>
      <c r="N55" s="138"/>
      <c r="O55" s="138"/>
      <c r="P55" s="50"/>
    </row>
    <row r="56" spans="1:16" ht="20.100000000000001" customHeight="1" x14ac:dyDescent="0.25">
      <c r="A56" s="50"/>
      <c r="B56" s="50"/>
      <c r="C56" s="108"/>
      <c r="D56" s="52"/>
      <c r="E56" s="50"/>
      <c r="F56" s="51"/>
      <c r="G56" s="140"/>
      <c r="H56" s="138"/>
      <c r="I56" s="140"/>
      <c r="J56" s="140"/>
      <c r="K56" s="140"/>
      <c r="L56" s="140"/>
      <c r="M56" s="140"/>
      <c r="N56" s="140"/>
      <c r="O56" s="140"/>
      <c r="P56" s="50"/>
    </row>
    <row r="57" spans="1:16" ht="20.100000000000001" customHeight="1" x14ac:dyDescent="0.25">
      <c r="A57" s="50"/>
      <c r="B57" s="50"/>
      <c r="C57" s="108"/>
      <c r="D57" s="52"/>
      <c r="E57" s="50"/>
      <c r="F57" s="51"/>
      <c r="G57" s="140"/>
      <c r="H57" s="138"/>
      <c r="I57" s="140"/>
      <c r="J57" s="140"/>
      <c r="K57" s="140"/>
      <c r="L57" s="140"/>
      <c r="M57" s="140"/>
      <c r="N57" s="140"/>
      <c r="O57" s="140"/>
      <c r="P57" s="50"/>
    </row>
    <row r="58" spans="1:16" ht="20.100000000000001" customHeight="1" x14ac:dyDescent="0.25">
      <c r="A58" s="50"/>
      <c r="B58" s="50"/>
      <c r="C58" s="108"/>
      <c r="D58" s="52"/>
      <c r="E58" s="50"/>
      <c r="F58" s="51"/>
      <c r="G58" s="140"/>
      <c r="H58" s="138"/>
      <c r="I58" s="140"/>
      <c r="J58" s="140"/>
      <c r="K58" s="140"/>
      <c r="L58" s="140"/>
      <c r="M58" s="140"/>
      <c r="N58" s="140"/>
      <c r="O58" s="140"/>
      <c r="P58" s="50"/>
    </row>
    <row r="59" spans="1:16" ht="20.100000000000001" customHeight="1" x14ac:dyDescent="0.25">
      <c r="A59" s="50"/>
      <c r="B59" s="50"/>
      <c r="C59" s="53"/>
      <c r="D59" s="52"/>
      <c r="E59" s="50"/>
      <c r="F59" s="51"/>
      <c r="G59" s="140"/>
      <c r="H59" s="140"/>
      <c r="I59" s="140"/>
      <c r="J59" s="140"/>
      <c r="K59" s="140"/>
      <c r="L59" s="138"/>
      <c r="M59" s="140"/>
      <c r="N59" s="140"/>
      <c r="O59" s="140"/>
      <c r="P59" s="50"/>
    </row>
    <row r="60" spans="1:16" ht="20.100000000000001" customHeight="1" x14ac:dyDescent="0.25">
      <c r="A60" s="50"/>
      <c r="B60" s="50"/>
      <c r="C60" s="150"/>
      <c r="D60" s="111"/>
      <c r="E60" s="112"/>
      <c r="F60" s="112"/>
      <c r="G60" s="141"/>
      <c r="H60" s="148"/>
      <c r="I60" s="149"/>
      <c r="J60" s="149"/>
      <c r="K60" s="148"/>
      <c r="L60" s="148"/>
      <c r="M60" s="148"/>
      <c r="N60" s="148"/>
      <c r="O60" s="148"/>
      <c r="P60" s="113"/>
    </row>
    <row r="61" spans="1:16" ht="20.100000000000001" customHeight="1" x14ac:dyDescent="0.25">
      <c r="A61" s="50"/>
      <c r="B61" s="50"/>
      <c r="C61" s="110"/>
      <c r="D61" s="111"/>
      <c r="E61" s="112"/>
      <c r="F61" s="112"/>
      <c r="G61" s="135"/>
      <c r="H61" s="135"/>
      <c r="I61" s="135"/>
      <c r="J61" s="135"/>
      <c r="K61" s="135"/>
      <c r="L61" s="135"/>
      <c r="M61" s="135"/>
      <c r="N61" s="135"/>
      <c r="O61" s="135"/>
      <c r="P61" s="113"/>
    </row>
    <row r="62" spans="1:16" ht="20.100000000000001" customHeight="1" x14ac:dyDescent="0.25">
      <c r="A62" s="50"/>
      <c r="B62" s="50"/>
      <c r="C62" s="151"/>
      <c r="D62" s="111"/>
      <c r="E62" s="112"/>
      <c r="F62" s="112"/>
      <c r="G62" s="136"/>
      <c r="H62" s="136"/>
      <c r="I62" s="136"/>
      <c r="J62" s="137"/>
      <c r="K62" s="137"/>
      <c r="L62" s="137"/>
      <c r="M62" s="137"/>
      <c r="N62" s="137"/>
      <c r="O62" s="137"/>
      <c r="P62" s="114"/>
    </row>
    <row r="63" spans="1:16" ht="20.100000000000001" customHeight="1" x14ac:dyDescent="0.25">
      <c r="A63" s="50"/>
      <c r="B63" s="50"/>
      <c r="C63" s="151"/>
      <c r="D63" s="111"/>
      <c r="E63" s="112"/>
      <c r="F63" s="112"/>
      <c r="G63" s="136"/>
      <c r="H63" s="136"/>
      <c r="I63" s="136"/>
      <c r="J63" s="137"/>
      <c r="K63" s="137"/>
      <c r="L63" s="137"/>
      <c r="M63" s="137"/>
      <c r="N63" s="137"/>
      <c r="O63" s="137"/>
      <c r="P63" s="114"/>
    </row>
    <row r="64" spans="1:16" ht="20.100000000000001" customHeight="1" x14ac:dyDescent="0.25">
      <c r="A64" s="50"/>
      <c r="B64" s="50"/>
      <c r="C64" s="151"/>
      <c r="D64" s="111"/>
      <c r="E64" s="112"/>
      <c r="F64" s="112"/>
      <c r="G64" s="136"/>
      <c r="H64" s="136"/>
      <c r="I64" s="136"/>
      <c r="J64" s="137"/>
      <c r="K64" s="137"/>
      <c r="L64" s="137"/>
      <c r="M64" s="137"/>
      <c r="N64" s="137"/>
      <c r="O64" s="137"/>
      <c r="P64" s="114"/>
    </row>
    <row r="65" spans="1:16" ht="20.100000000000001" customHeight="1" x14ac:dyDescent="0.25">
      <c r="A65" s="50"/>
      <c r="B65" s="50"/>
      <c r="C65" s="151"/>
      <c r="D65" s="111"/>
      <c r="E65" s="112"/>
      <c r="F65" s="112"/>
      <c r="G65" s="136"/>
      <c r="H65" s="136"/>
      <c r="I65" s="136"/>
      <c r="J65" s="137"/>
      <c r="K65" s="137"/>
      <c r="L65" s="137"/>
      <c r="M65" s="137"/>
      <c r="N65" s="137"/>
      <c r="O65" s="137"/>
      <c r="P65" s="114"/>
    </row>
    <row r="66" spans="1:16" ht="20.100000000000001" customHeight="1" x14ac:dyDescent="0.25">
      <c r="A66" s="50"/>
      <c r="B66" s="50"/>
      <c r="C66" s="151"/>
      <c r="D66" s="111"/>
      <c r="E66" s="112"/>
      <c r="F66" s="112"/>
      <c r="G66" s="136"/>
      <c r="H66" s="136"/>
      <c r="I66" s="136"/>
      <c r="J66" s="137"/>
      <c r="K66" s="137"/>
      <c r="L66" s="137"/>
      <c r="M66" s="137"/>
      <c r="N66" s="137"/>
      <c r="O66" s="137"/>
      <c r="P66" s="114"/>
    </row>
    <row r="67" spans="1:16" ht="20.100000000000001" customHeight="1" x14ac:dyDescent="0.25">
      <c r="A67" s="50"/>
      <c r="B67" s="50"/>
      <c r="C67" s="151"/>
      <c r="D67" s="111"/>
      <c r="E67" s="112"/>
      <c r="F67" s="112"/>
      <c r="G67" s="136"/>
      <c r="H67" s="136"/>
      <c r="I67" s="136"/>
      <c r="J67" s="137"/>
      <c r="K67" s="137"/>
      <c r="L67" s="137"/>
      <c r="M67" s="137"/>
      <c r="N67" s="137"/>
      <c r="O67" s="137"/>
      <c r="P67" s="114"/>
    </row>
    <row r="68" spans="1:16" ht="20.100000000000001" customHeight="1" x14ac:dyDescent="0.25">
      <c r="A68" s="50"/>
      <c r="B68" s="50"/>
      <c r="C68" s="151"/>
      <c r="D68" s="111"/>
      <c r="E68" s="112"/>
      <c r="F68" s="112"/>
      <c r="G68" s="136"/>
      <c r="H68" s="136"/>
      <c r="I68" s="136"/>
      <c r="J68" s="137"/>
      <c r="K68" s="137"/>
      <c r="L68" s="137"/>
      <c r="M68" s="137"/>
      <c r="N68" s="137"/>
      <c r="O68" s="137"/>
      <c r="P68" s="114"/>
    </row>
    <row r="69" spans="1:16" ht="20.100000000000001" customHeight="1" x14ac:dyDescent="0.25">
      <c r="A69" s="50"/>
      <c r="B69" s="50"/>
      <c r="C69" s="151"/>
      <c r="D69" s="111"/>
      <c r="E69" s="112"/>
      <c r="F69" s="112"/>
      <c r="G69" s="136"/>
      <c r="H69" s="136"/>
      <c r="I69" s="136"/>
      <c r="J69" s="137"/>
      <c r="K69" s="137"/>
      <c r="L69" s="137"/>
      <c r="M69" s="137"/>
      <c r="N69" s="137"/>
      <c r="O69" s="137"/>
      <c r="P69" s="114"/>
    </row>
    <row r="70" spans="1:16" ht="20.100000000000001" customHeight="1" x14ac:dyDescent="0.25">
      <c r="A70" s="50"/>
      <c r="B70" s="50"/>
      <c r="C70" s="151"/>
      <c r="D70" s="111"/>
      <c r="E70" s="112"/>
      <c r="F70" s="112"/>
      <c r="G70" s="136"/>
      <c r="H70" s="136"/>
      <c r="I70" s="136"/>
      <c r="J70" s="137"/>
      <c r="K70" s="137"/>
      <c r="L70" s="137"/>
      <c r="M70" s="137"/>
      <c r="N70" s="137"/>
      <c r="O70" s="137"/>
      <c r="P70" s="114"/>
    </row>
    <row r="71" spans="1:16" ht="20.100000000000001" customHeight="1" x14ac:dyDescent="0.25">
      <c r="A71" s="50"/>
      <c r="B71" s="50"/>
      <c r="C71" s="151"/>
      <c r="D71" s="111"/>
      <c r="E71" s="112"/>
      <c r="F71" s="112"/>
      <c r="G71" s="136"/>
      <c r="H71" s="136"/>
      <c r="I71" s="136"/>
      <c r="J71" s="137"/>
      <c r="K71" s="137"/>
      <c r="L71" s="137"/>
      <c r="M71" s="137"/>
      <c r="N71" s="137"/>
      <c r="O71" s="137"/>
      <c r="P71" s="114"/>
    </row>
    <row r="72" spans="1:16" ht="20.100000000000001" customHeight="1" x14ac:dyDescent="0.25">
      <c r="A72" s="50"/>
      <c r="B72" s="50"/>
      <c r="C72" s="151"/>
      <c r="D72" s="111"/>
      <c r="E72" s="112"/>
      <c r="F72" s="112"/>
      <c r="G72" s="136"/>
      <c r="H72" s="136"/>
      <c r="I72" s="136"/>
      <c r="J72" s="137"/>
      <c r="K72" s="137"/>
      <c r="L72" s="137"/>
      <c r="M72" s="137"/>
      <c r="N72" s="137"/>
      <c r="O72" s="137"/>
      <c r="P72" s="114"/>
    </row>
    <row r="73" spans="1:16" ht="20.100000000000001" customHeight="1" x14ac:dyDescent="0.25">
      <c r="A73" s="50"/>
      <c r="B73" s="50"/>
      <c r="C73" s="151"/>
      <c r="D73" s="111"/>
      <c r="E73" s="112"/>
      <c r="F73" s="112"/>
      <c r="G73" s="136"/>
      <c r="H73" s="136"/>
      <c r="I73" s="136"/>
      <c r="J73" s="137"/>
      <c r="K73" s="137"/>
      <c r="L73" s="137"/>
      <c r="M73" s="137"/>
      <c r="N73" s="137"/>
      <c r="O73" s="137"/>
      <c r="P73" s="114"/>
    </row>
    <row r="74" spans="1:16" ht="20.100000000000001" customHeight="1" x14ac:dyDescent="0.25">
      <c r="A74" s="50"/>
      <c r="B74" s="50"/>
      <c r="C74" s="151"/>
      <c r="D74" s="111"/>
      <c r="E74" s="112"/>
      <c r="F74" s="112"/>
      <c r="G74" s="136"/>
      <c r="H74" s="136"/>
      <c r="I74" s="136"/>
      <c r="J74" s="137"/>
      <c r="K74" s="137"/>
      <c r="L74" s="137"/>
      <c r="M74" s="137"/>
      <c r="N74" s="137"/>
      <c r="O74" s="137"/>
      <c r="P74" s="114"/>
    </row>
    <row r="75" spans="1:16" ht="20.100000000000001" customHeight="1" x14ac:dyDescent="0.25">
      <c r="A75" s="50"/>
      <c r="B75" s="50"/>
      <c r="C75" s="151"/>
      <c r="D75" s="111"/>
      <c r="E75" s="112"/>
      <c r="F75" s="112"/>
      <c r="G75" s="136"/>
      <c r="H75" s="136"/>
      <c r="I75" s="136"/>
      <c r="J75" s="137"/>
      <c r="K75" s="137"/>
      <c r="L75" s="137"/>
      <c r="M75" s="137"/>
      <c r="N75" s="137"/>
      <c r="O75" s="137"/>
      <c r="P75" s="114"/>
    </row>
    <row r="76" spans="1:16" ht="20.100000000000001" customHeight="1" x14ac:dyDescent="0.25">
      <c r="A76" s="50"/>
      <c r="B76" s="50"/>
      <c r="C76" s="151"/>
      <c r="D76" s="111"/>
      <c r="E76" s="112"/>
      <c r="F76" s="112"/>
      <c r="G76" s="136"/>
      <c r="H76" s="136"/>
      <c r="I76" s="136"/>
      <c r="J76" s="137"/>
      <c r="K76" s="137"/>
      <c r="L76" s="137"/>
      <c r="M76" s="137"/>
      <c r="N76" s="137"/>
      <c r="O76" s="137"/>
      <c r="P76" s="114"/>
    </row>
    <row r="77" spans="1:16" ht="20.100000000000001" customHeight="1" x14ac:dyDescent="0.25">
      <c r="A77" s="50"/>
      <c r="B77" s="50"/>
      <c r="C77" s="151"/>
      <c r="D77" s="111"/>
      <c r="E77" s="112"/>
      <c r="F77" s="112"/>
      <c r="G77" s="136"/>
      <c r="H77" s="136"/>
      <c r="I77" s="136"/>
      <c r="J77" s="137"/>
      <c r="K77" s="137"/>
      <c r="L77" s="137"/>
      <c r="M77" s="137"/>
      <c r="N77" s="137"/>
      <c r="O77" s="137"/>
      <c r="P77" s="114"/>
    </row>
    <row r="78" spans="1:16" ht="20.100000000000001" customHeight="1" x14ac:dyDescent="0.25">
      <c r="A78" s="50"/>
      <c r="B78" s="50"/>
      <c r="C78" s="151"/>
      <c r="D78" s="111"/>
      <c r="E78" s="112"/>
      <c r="F78" s="112"/>
      <c r="G78" s="136"/>
      <c r="H78" s="136"/>
      <c r="I78" s="136"/>
      <c r="J78" s="137"/>
      <c r="K78" s="137"/>
      <c r="L78" s="137"/>
      <c r="M78" s="137"/>
      <c r="N78" s="137"/>
      <c r="O78" s="137"/>
      <c r="P78" s="114"/>
    </row>
    <row r="79" spans="1:16" ht="20.100000000000001" customHeight="1" x14ac:dyDescent="0.25">
      <c r="A79" s="50"/>
      <c r="B79" s="50"/>
      <c r="C79" s="151"/>
      <c r="D79" s="111"/>
      <c r="E79" s="112"/>
      <c r="F79" s="112"/>
      <c r="G79" s="136"/>
      <c r="H79" s="136"/>
      <c r="I79" s="136"/>
      <c r="J79" s="137"/>
      <c r="K79" s="137"/>
      <c r="L79" s="137"/>
      <c r="M79" s="137"/>
      <c r="N79" s="137"/>
      <c r="O79" s="137"/>
      <c r="P79" s="114"/>
    </row>
    <row r="80" spans="1:16" ht="20.100000000000001" customHeight="1" x14ac:dyDescent="0.25">
      <c r="A80" s="50"/>
      <c r="B80" s="50"/>
      <c r="C80" s="151"/>
      <c r="D80" s="111"/>
      <c r="E80" s="112"/>
      <c r="F80" s="112"/>
      <c r="G80" s="136"/>
      <c r="H80" s="136"/>
      <c r="I80" s="136"/>
      <c r="J80" s="137"/>
      <c r="K80" s="137"/>
      <c r="L80" s="137"/>
      <c r="M80" s="137"/>
      <c r="N80" s="137"/>
      <c r="O80" s="137"/>
      <c r="P80" s="114"/>
    </row>
    <row r="81" spans="1:16" ht="20.100000000000001" customHeight="1" x14ac:dyDescent="0.25">
      <c r="A81" s="50"/>
      <c r="B81" s="50"/>
      <c r="C81" s="151"/>
      <c r="D81" s="111"/>
      <c r="E81" s="112"/>
      <c r="F81" s="112"/>
      <c r="G81" s="136"/>
      <c r="H81" s="136"/>
      <c r="I81" s="136"/>
      <c r="J81" s="137"/>
      <c r="K81" s="137"/>
      <c r="L81" s="137"/>
      <c r="M81" s="137"/>
      <c r="N81" s="137"/>
      <c r="O81" s="137"/>
      <c r="P81" s="114"/>
    </row>
    <row r="82" spans="1:16" ht="20.100000000000001" customHeight="1" x14ac:dyDescent="0.25">
      <c r="A82" s="50"/>
      <c r="B82" s="50"/>
      <c r="C82" s="50"/>
      <c r="D82" s="52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</row>
  </sheetData>
  <mergeCells count="12">
    <mergeCell ref="A1:B1"/>
    <mergeCell ref="C1:P1"/>
    <mergeCell ref="A2:B2"/>
    <mergeCell ref="C2:P2"/>
    <mergeCell ref="A3:B3"/>
    <mergeCell ref="C3:P3"/>
    <mergeCell ref="A4:B4"/>
    <mergeCell ref="C4:P4"/>
    <mergeCell ref="A5:B5"/>
    <mergeCell ref="C5:P5"/>
    <mergeCell ref="A6:B6"/>
    <mergeCell ref="C6:P6"/>
  </mergeCells>
  <conditionalFormatting sqref="C60:C61">
    <cfRule type="cellIs" dxfId="11" priority="17" operator="equal">
      <formula>0</formula>
    </cfRule>
  </conditionalFormatting>
  <conditionalFormatting sqref="A1:O6 A23:XFD31 A72:N1048576 O64:O1048576 A60:O81 P60:XFD1048576 A7:F7 P1:XFD22 A8:O8 A22 C22:O22 B21 A19:O20 A18 C18:O18 B17">
    <cfRule type="cellIs" dxfId="10" priority="16" operator="between">
      <formula>0</formula>
      <formula>0</formula>
    </cfRule>
  </conditionalFormatting>
  <conditionalFormatting sqref="I68">
    <cfRule type="cellIs" dxfId="9" priority="12" operator="between">
      <formula>0</formula>
      <formula>0</formula>
    </cfRule>
  </conditionalFormatting>
  <conditionalFormatting sqref="A44:XFD46 A42:B43 Q42:XFD43 A32:XFD41">
    <cfRule type="cellIs" dxfId="8" priority="11" operator="between">
      <formula>0</formula>
      <formula>0</formula>
    </cfRule>
  </conditionalFormatting>
  <conditionalFormatting sqref="A47:XFD59">
    <cfRule type="cellIs" dxfId="7" priority="10" operator="between">
      <formula>0</formula>
      <formula>0</formula>
    </cfRule>
  </conditionalFormatting>
  <conditionalFormatting sqref="C42:P43">
    <cfRule type="cellIs" dxfId="6" priority="9" operator="between">
      <formula>0</formula>
      <formula>0</formula>
    </cfRule>
  </conditionalFormatting>
  <conditionalFormatting sqref="H66:K67">
    <cfRule type="cellIs" dxfId="5" priority="8" operator="between">
      <formula>0</formula>
      <formula>0</formula>
    </cfRule>
  </conditionalFormatting>
  <conditionalFormatting sqref="G9:O9 A11:B14 G11:O14 A15:O16 A8:B9 A21 C21:O21 A17 C17:O17">
    <cfRule type="cellIs" dxfId="4" priority="6" operator="between">
      <formula>0</formula>
      <formula>0</formula>
    </cfRule>
  </conditionalFormatting>
  <conditionalFormatting sqref="A10:B10 G10:O10">
    <cfRule type="cellIs" dxfId="3" priority="5" operator="between">
      <formula>0</formula>
      <formula>0</formula>
    </cfRule>
  </conditionalFormatting>
  <conditionalFormatting sqref="C9:F14">
    <cfRule type="cellIs" dxfId="2" priority="4" operator="between">
      <formula>0</formula>
      <formula>0</formula>
    </cfRule>
  </conditionalFormatting>
  <conditionalFormatting sqref="G7:O7">
    <cfRule type="cellIs" dxfId="1" priority="1" operator="between">
      <formula>0</formula>
      <formula>0</formula>
    </cfRule>
  </conditionalFormatting>
  <pageMargins left="0.34" right="0.39" top="0.88" bottom="0.8" header="0.4" footer="0.3"/>
  <pageSetup scale="81" orientation="landscape" r:id="rId1"/>
  <headerFooter>
    <oddFooter>&amp;CPage no &amp;P  MB  -1022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Gen 1000</vt:lpstr>
      <vt:lpstr>Gen 1001</vt:lpstr>
      <vt:lpstr>Gen 1003</vt:lpstr>
      <vt:lpstr>Gen 1004</vt:lpstr>
      <vt:lpstr>Steel 1021</vt:lpstr>
      <vt:lpstr>Steel 1022</vt:lpstr>
      <vt:lpstr>'Gen 1000'!Print_Area</vt:lpstr>
      <vt:lpstr>'Gen 1001'!Print_Area</vt:lpstr>
      <vt:lpstr>'Gen 1003'!Print_Area</vt:lpstr>
      <vt:lpstr>'Gen 1004'!Print_Area</vt:lpstr>
      <vt:lpstr>'Gen 1000'!Print_Titles</vt:lpstr>
      <vt:lpstr>'Gen 1001'!Print_Titles</vt:lpstr>
      <vt:lpstr>'Gen 1003'!Print_Titles</vt:lpstr>
      <vt:lpstr>'Gen 1004'!Print_Titles</vt:lpstr>
      <vt:lpstr>'Steel 1021'!Print_Titles</vt:lpstr>
      <vt:lpstr>'Steel 1022'!Print_Titles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2016-06-20T11:22:38Z</dcterms:modified>
</cp:coreProperties>
</file>